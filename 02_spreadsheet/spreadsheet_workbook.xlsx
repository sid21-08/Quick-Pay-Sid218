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_raw" sheetId="1" r:id="rId5"/>
    <sheet state="visible" name="Cleaned_Transactions" sheetId="2" r:id="rId6"/>
    <sheet state="visible" name="Sheet2" sheetId="3" r:id="rId7"/>
    <sheet state="visible" name="Sheet3" sheetId="4" r:id="rId8"/>
    <sheet state="visible" name="Sheet1" sheetId="5" r:id="rId9"/>
  </sheets>
  <definedNames/>
  <calcPr/>
</workbook>
</file>

<file path=xl/sharedStrings.xml><?xml version="1.0" encoding="utf-8"?>
<sst xmlns="http://schemas.openxmlformats.org/spreadsheetml/2006/main" count="524" uniqueCount="130">
  <si>
    <t>transaction_id</t>
  </si>
  <si>
    <t>transaction_date</t>
  </si>
  <si>
    <t>merchant_name</t>
  </si>
  <si>
    <t>raw_amount</t>
  </si>
  <si>
    <t>currency</t>
  </si>
  <si>
    <t>status</t>
  </si>
  <si>
    <t>risk_score</t>
  </si>
  <si>
    <t>gateway_region</t>
  </si>
  <si>
    <t>user_id</t>
  </si>
  <si>
    <t>payment_method</t>
  </si>
  <si>
    <t>T001</t>
  </si>
  <si>
    <t>alpha mart</t>
  </si>
  <si>
    <t>INR</t>
  </si>
  <si>
    <t>captured</t>
  </si>
  <si>
    <t>score:62</t>
  </si>
  <si>
    <t>APAC</t>
  </si>
  <si>
    <t>U001</t>
  </si>
  <si>
    <t>UPI</t>
  </si>
  <si>
    <t>T002</t>
  </si>
  <si>
    <t>ALPHA MART</t>
  </si>
  <si>
    <t>Captured</t>
  </si>
  <si>
    <t>U002</t>
  </si>
  <si>
    <t>Card</t>
  </si>
  <si>
    <t>T003</t>
  </si>
  <si>
    <t>BETA STORES</t>
  </si>
  <si>
    <t>CAPTURED</t>
  </si>
  <si>
    <t>U003</t>
  </si>
  <si>
    <t>NetBanking</t>
  </si>
  <si>
    <t>T004</t>
  </si>
  <si>
    <t>Beta  Stores</t>
  </si>
  <si>
    <t>failed e05 timeout</t>
  </si>
  <si>
    <t>apac</t>
  </si>
  <si>
    <t>U004</t>
  </si>
  <si>
    <t>T005</t>
  </si>
  <si>
    <t>Alpha Mart</t>
  </si>
  <si>
    <t>T006</t>
  </si>
  <si>
    <t>score:64</t>
  </si>
  <si>
    <t>U005</t>
  </si>
  <si>
    <t>Wallet</t>
  </si>
  <si>
    <t>T007</t>
  </si>
  <si>
    <t>Alpha  Mart</t>
  </si>
  <si>
    <t>chargeback</t>
  </si>
  <si>
    <t>risk-83</t>
  </si>
  <si>
    <t>U006</t>
  </si>
  <si>
    <t>T008</t>
  </si>
  <si>
    <t>U007</t>
  </si>
  <si>
    <t>T009</t>
  </si>
  <si>
    <t>T010</t>
  </si>
  <si>
    <t>Beta Stores</t>
  </si>
  <si>
    <t>risk-77</t>
  </si>
  <si>
    <t>T011</t>
  </si>
  <si>
    <t>FAILED e05 TIMEOUT</t>
  </si>
  <si>
    <t>U008</t>
  </si>
  <si>
    <t>T012</t>
  </si>
  <si>
    <t>risk-61</t>
  </si>
  <si>
    <t>U009</t>
  </si>
  <si>
    <t>T013</t>
  </si>
  <si>
    <t>score:54</t>
  </si>
  <si>
    <t>U010</t>
  </si>
  <si>
    <t>T014</t>
  </si>
  <si>
    <t>risk-73</t>
  </si>
  <si>
    <t>T015</t>
  </si>
  <si>
    <t>score:52</t>
  </si>
  <si>
    <t>T016</t>
  </si>
  <si>
    <t>failed E05 timeout</t>
  </si>
  <si>
    <t>risk-69</t>
  </si>
  <si>
    <t>T017</t>
  </si>
  <si>
    <t>Failed E05 Timeout</t>
  </si>
  <si>
    <t>score:72</t>
  </si>
  <si>
    <t>T018</t>
  </si>
  <si>
    <t>risk-86</t>
  </si>
  <si>
    <t>T019</t>
  </si>
  <si>
    <t>score:67</t>
  </si>
  <si>
    <t>T020</t>
  </si>
  <si>
    <t>T021</t>
  </si>
  <si>
    <t>beta stores</t>
  </si>
  <si>
    <t>score:63</t>
  </si>
  <si>
    <t>T022</t>
  </si>
  <si>
    <t>T023</t>
  </si>
  <si>
    <t>City Pharma</t>
  </si>
  <si>
    <t>EUR</t>
  </si>
  <si>
    <t>EU</t>
  </si>
  <si>
    <t>T024</t>
  </si>
  <si>
    <t>Eco Home</t>
  </si>
  <si>
    <t>score:65</t>
  </si>
  <si>
    <t>T025</t>
  </si>
  <si>
    <t>eu</t>
  </si>
  <si>
    <t>T026</t>
  </si>
  <si>
    <t>T027</t>
  </si>
  <si>
    <t>DELTA TRAVELS</t>
  </si>
  <si>
    <t>USD</t>
  </si>
  <si>
    <t>us</t>
  </si>
  <si>
    <t>T028</t>
  </si>
  <si>
    <t>Delta Travels</t>
  </si>
  <si>
    <t>risk-41</t>
  </si>
  <si>
    <t>US</t>
  </si>
  <si>
    <t>T029</t>
  </si>
  <si>
    <t>delta travels</t>
  </si>
  <si>
    <t>score:58</t>
  </si>
  <si>
    <t>T030</t>
  </si>
  <si>
    <t>score:47</t>
  </si>
  <si>
    <t>merchant_name_draft</t>
  </si>
  <si>
    <t>raw_amount(in USD)</t>
  </si>
  <si>
    <t>currency_draft</t>
  </si>
  <si>
    <t>status_draft</t>
  </si>
  <si>
    <t>risk_score_draft</t>
  </si>
  <si>
    <t>high_value_flag</t>
  </si>
  <si>
    <t>high_value_risk</t>
  </si>
  <si>
    <t>rate_date</t>
  </si>
  <si>
    <t>usd_rate</t>
  </si>
  <si>
    <t>merchant_id</t>
  </si>
  <si>
    <t>account_manager</t>
  </si>
  <si>
    <t>merchant_category</t>
  </si>
  <si>
    <t>default_region</t>
  </si>
  <si>
    <t>amount_usd</t>
  </si>
  <si>
    <t>M001</t>
  </si>
  <si>
    <t>Aisha Khan</t>
  </si>
  <si>
    <t>Grocery</t>
  </si>
  <si>
    <t>M002</t>
  </si>
  <si>
    <t>Rohan Mehta</t>
  </si>
  <si>
    <t>Electronics</t>
  </si>
  <si>
    <t>M003</t>
  </si>
  <si>
    <t>Elena Rossi</t>
  </si>
  <si>
    <t>Healthcare</t>
  </si>
  <si>
    <t>M004</t>
  </si>
  <si>
    <t>Marcus Lee</t>
  </si>
  <si>
    <t>Travel</t>
  </si>
  <si>
    <t>M005</t>
  </si>
  <si>
    <t>Nina Weber</t>
  </si>
  <si>
    <t>Home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</si>
</sst>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&quot;/&quot;d&quot;/&quot;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 shrinkToFit="0" vertical="bottom" wrapText="0"/>
    </xf>
    <xf borderId="0" fillId="0" fontId="3" numFmtId="165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46082.0</v>
      </c>
      <c r="C2" s="1" t="s">
        <v>11</v>
      </c>
      <c r="D2" s="1">
        <v>420000.0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>
      <c r="A3" s="1" t="s">
        <v>18</v>
      </c>
      <c r="B3" s="2">
        <v>46082.0</v>
      </c>
      <c r="C3" s="1" t="s">
        <v>19</v>
      </c>
      <c r="D3" s="1">
        <v>210000.0</v>
      </c>
      <c r="E3" s="1" t="s">
        <v>12</v>
      </c>
      <c r="F3" s="1" t="s">
        <v>20</v>
      </c>
      <c r="G3" s="1">
        <v>55.0</v>
      </c>
      <c r="I3" s="1" t="s">
        <v>21</v>
      </c>
      <c r="J3" s="1" t="s">
        <v>22</v>
      </c>
    </row>
    <row r="4">
      <c r="A4" s="1" t="s">
        <v>23</v>
      </c>
      <c r="B4" s="2">
        <v>46082.0</v>
      </c>
      <c r="C4" s="1" t="s">
        <v>24</v>
      </c>
      <c r="D4" s="1">
        <v>510000.0</v>
      </c>
      <c r="E4" s="1" t="s">
        <v>12</v>
      </c>
      <c r="F4" s="1" t="s">
        <v>25</v>
      </c>
      <c r="G4" s="1">
        <v>71.0</v>
      </c>
      <c r="H4" s="1" t="s">
        <v>15</v>
      </c>
      <c r="I4" s="1" t="s">
        <v>26</v>
      </c>
      <c r="J4" s="1" t="s">
        <v>27</v>
      </c>
    </row>
    <row r="5">
      <c r="A5" s="1" t="s">
        <v>28</v>
      </c>
      <c r="B5" s="2">
        <v>46083.0</v>
      </c>
      <c r="C5" s="1" t="s">
        <v>29</v>
      </c>
      <c r="D5" s="1">
        <v>160000.0</v>
      </c>
      <c r="E5" s="1" t="s">
        <v>12</v>
      </c>
      <c r="F5" s="1" t="s">
        <v>30</v>
      </c>
      <c r="G5" s="1">
        <v>68.0</v>
      </c>
      <c r="H5" s="1" t="s">
        <v>31</v>
      </c>
      <c r="I5" s="1" t="s">
        <v>32</v>
      </c>
      <c r="J5" s="1" t="s">
        <v>22</v>
      </c>
    </row>
    <row r="6">
      <c r="A6" s="1" t="s">
        <v>33</v>
      </c>
      <c r="B6" s="2">
        <v>46083.0</v>
      </c>
      <c r="C6" s="1" t="s">
        <v>34</v>
      </c>
      <c r="D6" s="1">
        <v>390000.0</v>
      </c>
      <c r="E6" s="1" t="s">
        <v>12</v>
      </c>
      <c r="F6" s="1" t="s">
        <v>25</v>
      </c>
      <c r="G6" s="1">
        <v>58.0</v>
      </c>
      <c r="I6" s="1" t="s">
        <v>16</v>
      </c>
      <c r="J6" s="1" t="s">
        <v>17</v>
      </c>
    </row>
    <row r="7">
      <c r="A7" s="1" t="s">
        <v>35</v>
      </c>
      <c r="B7" s="2">
        <v>46083.0</v>
      </c>
      <c r="C7" s="1" t="s">
        <v>29</v>
      </c>
      <c r="D7" s="1">
        <v>275000.0</v>
      </c>
      <c r="E7" s="1" t="s">
        <v>12</v>
      </c>
      <c r="F7" s="1" t="s">
        <v>20</v>
      </c>
      <c r="G7" s="1" t="s">
        <v>36</v>
      </c>
      <c r="I7" s="1" t="s">
        <v>37</v>
      </c>
      <c r="J7" s="1" t="s">
        <v>38</v>
      </c>
    </row>
    <row r="8">
      <c r="A8" s="1" t="s">
        <v>39</v>
      </c>
      <c r="B8" s="2">
        <v>46083.0</v>
      </c>
      <c r="C8" s="1" t="s">
        <v>40</v>
      </c>
      <c r="D8" s="1">
        <v>450000.0</v>
      </c>
      <c r="E8" s="1" t="s">
        <v>12</v>
      </c>
      <c r="F8" s="1" t="s">
        <v>41</v>
      </c>
      <c r="G8" s="1" t="s">
        <v>42</v>
      </c>
      <c r="H8" s="1" t="s">
        <v>15</v>
      </c>
      <c r="I8" s="1" t="s">
        <v>43</v>
      </c>
      <c r="J8" s="1" t="s">
        <v>22</v>
      </c>
    </row>
    <row r="9">
      <c r="A9" s="1" t="s">
        <v>44</v>
      </c>
      <c r="B9" s="2">
        <v>46084.0</v>
      </c>
      <c r="C9" s="1" t="s">
        <v>24</v>
      </c>
      <c r="D9" s="1">
        <v>340000.0</v>
      </c>
      <c r="E9" s="1" t="s">
        <v>12</v>
      </c>
      <c r="F9" s="1" t="s">
        <v>20</v>
      </c>
      <c r="G9" s="1">
        <v>59.0</v>
      </c>
      <c r="I9" s="1" t="s">
        <v>45</v>
      </c>
      <c r="J9" s="1" t="s">
        <v>17</v>
      </c>
    </row>
    <row r="10">
      <c r="A10" s="1" t="s">
        <v>46</v>
      </c>
      <c r="B10" s="2">
        <v>46084.0</v>
      </c>
      <c r="C10" s="1" t="s">
        <v>34</v>
      </c>
      <c r="D10" s="1">
        <v>125000.0</v>
      </c>
      <c r="E10" s="1" t="s">
        <v>12</v>
      </c>
      <c r="F10" s="1" t="s">
        <v>13</v>
      </c>
      <c r="G10" s="1">
        <v>46.0</v>
      </c>
      <c r="H10" s="1" t="s">
        <v>15</v>
      </c>
      <c r="I10" s="1" t="s">
        <v>21</v>
      </c>
      <c r="J10" s="1" t="s">
        <v>38</v>
      </c>
    </row>
    <row r="11">
      <c r="A11" s="1" t="s">
        <v>47</v>
      </c>
      <c r="B11" s="2">
        <v>46084.0</v>
      </c>
      <c r="C11" s="1" t="s">
        <v>48</v>
      </c>
      <c r="D11" s="1">
        <v>610000.0</v>
      </c>
      <c r="E11" s="1" t="s">
        <v>12</v>
      </c>
      <c r="F11" s="1" t="s">
        <v>13</v>
      </c>
      <c r="G11" s="1" t="s">
        <v>49</v>
      </c>
      <c r="I11" s="1" t="s">
        <v>26</v>
      </c>
      <c r="J11" s="1" t="s">
        <v>22</v>
      </c>
    </row>
    <row r="12">
      <c r="A12" s="1" t="s">
        <v>50</v>
      </c>
      <c r="B12" s="2">
        <v>46084.0</v>
      </c>
      <c r="C12" s="1" t="s">
        <v>40</v>
      </c>
      <c r="D12" s="1">
        <v>195000.0</v>
      </c>
      <c r="E12" s="1" t="s">
        <v>12</v>
      </c>
      <c r="F12" s="1" t="s">
        <v>51</v>
      </c>
      <c r="I12" s="1" t="s">
        <v>52</v>
      </c>
      <c r="J12" s="1" t="s">
        <v>17</v>
      </c>
    </row>
    <row r="13">
      <c r="A13" s="1" t="s">
        <v>53</v>
      </c>
      <c r="B13" s="2">
        <v>46085.0</v>
      </c>
      <c r="C13" s="1" t="s">
        <v>29</v>
      </c>
      <c r="D13" s="1">
        <v>250000.0</v>
      </c>
      <c r="E13" s="1" t="s">
        <v>12</v>
      </c>
      <c r="F13" s="1" t="s">
        <v>13</v>
      </c>
      <c r="G13" s="1" t="s">
        <v>54</v>
      </c>
      <c r="H13" s="1" t="s">
        <v>15</v>
      </c>
      <c r="I13" s="1" t="s">
        <v>55</v>
      </c>
      <c r="J13" s="1" t="s">
        <v>22</v>
      </c>
    </row>
    <row r="14">
      <c r="A14" s="1" t="s">
        <v>56</v>
      </c>
      <c r="B14" s="2">
        <v>46085.0</v>
      </c>
      <c r="C14" s="1" t="s">
        <v>11</v>
      </c>
      <c r="D14" s="1">
        <v>310000.0</v>
      </c>
      <c r="E14" s="1" t="s">
        <v>12</v>
      </c>
      <c r="F14" s="1" t="s">
        <v>13</v>
      </c>
      <c r="G14" s="1" t="s">
        <v>57</v>
      </c>
      <c r="H14" s="1" t="s">
        <v>15</v>
      </c>
      <c r="I14" s="1" t="s">
        <v>58</v>
      </c>
      <c r="J14" s="1" t="s">
        <v>17</v>
      </c>
    </row>
    <row r="15">
      <c r="A15" s="1" t="s">
        <v>59</v>
      </c>
      <c r="B15" s="2">
        <v>46085.0</v>
      </c>
      <c r="C15" s="1" t="s">
        <v>29</v>
      </c>
      <c r="D15" s="1">
        <v>470000.0</v>
      </c>
      <c r="E15" s="1" t="s">
        <v>12</v>
      </c>
      <c r="F15" s="1" t="s">
        <v>13</v>
      </c>
      <c r="G15" s="1" t="s">
        <v>60</v>
      </c>
      <c r="H15" s="1" t="s">
        <v>15</v>
      </c>
      <c r="I15" s="1" t="s">
        <v>16</v>
      </c>
      <c r="J15" s="1" t="s">
        <v>27</v>
      </c>
    </row>
    <row r="16">
      <c r="A16" s="1" t="s">
        <v>61</v>
      </c>
      <c r="B16" s="2">
        <v>46085.0</v>
      </c>
      <c r="C16" s="1" t="s">
        <v>34</v>
      </c>
      <c r="D16" s="1">
        <v>130000.0</v>
      </c>
      <c r="E16" s="1" t="s">
        <v>12</v>
      </c>
      <c r="F16" s="1" t="s">
        <v>13</v>
      </c>
      <c r="G16" s="1" t="s">
        <v>62</v>
      </c>
      <c r="I16" s="1" t="s">
        <v>21</v>
      </c>
      <c r="J16" s="1" t="s">
        <v>22</v>
      </c>
    </row>
    <row r="17">
      <c r="A17" s="1" t="s">
        <v>63</v>
      </c>
      <c r="B17" s="2">
        <v>46086.0</v>
      </c>
      <c r="C17" s="1" t="s">
        <v>29</v>
      </c>
      <c r="D17" s="1">
        <v>220000.0</v>
      </c>
      <c r="E17" s="1" t="s">
        <v>12</v>
      </c>
      <c r="F17" s="1" t="s">
        <v>64</v>
      </c>
      <c r="G17" s="1" t="s">
        <v>65</v>
      </c>
      <c r="I17" s="1" t="s">
        <v>52</v>
      </c>
      <c r="J17" s="1" t="s">
        <v>22</v>
      </c>
    </row>
    <row r="18">
      <c r="A18" s="1" t="s">
        <v>66</v>
      </c>
      <c r="B18" s="2">
        <v>46086.0</v>
      </c>
      <c r="C18" s="1" t="s">
        <v>29</v>
      </c>
      <c r="D18" s="1">
        <v>180000.0</v>
      </c>
      <c r="E18" s="1" t="s">
        <v>12</v>
      </c>
      <c r="F18" s="1" t="s">
        <v>67</v>
      </c>
      <c r="G18" s="1" t="s">
        <v>68</v>
      </c>
      <c r="H18" s="1" t="s">
        <v>31</v>
      </c>
      <c r="I18" s="1" t="s">
        <v>52</v>
      </c>
      <c r="J18" s="1" t="s">
        <v>22</v>
      </c>
    </row>
    <row r="19">
      <c r="A19" s="1" t="s">
        <v>69</v>
      </c>
      <c r="B19" s="2">
        <v>46086.0</v>
      </c>
      <c r="C19" s="1" t="s">
        <v>24</v>
      </c>
      <c r="D19" s="1">
        <v>145000.0</v>
      </c>
      <c r="E19" s="1" t="s">
        <v>12</v>
      </c>
      <c r="F19" s="1" t="s">
        <v>41</v>
      </c>
      <c r="G19" s="1" t="s">
        <v>70</v>
      </c>
      <c r="H19" s="1" t="s">
        <v>15</v>
      </c>
      <c r="I19" s="1" t="s">
        <v>52</v>
      </c>
      <c r="J19" s="1" t="s">
        <v>17</v>
      </c>
    </row>
    <row r="20">
      <c r="A20" s="1" t="s">
        <v>71</v>
      </c>
      <c r="B20" s="2">
        <v>46086.0</v>
      </c>
      <c r="C20" s="1" t="s">
        <v>40</v>
      </c>
      <c r="D20" s="1">
        <v>260000.0</v>
      </c>
      <c r="E20" s="1" t="s">
        <v>12</v>
      </c>
      <c r="F20" s="1" t="s">
        <v>67</v>
      </c>
      <c r="G20" s="1" t="s">
        <v>72</v>
      </c>
      <c r="H20" s="1" t="s">
        <v>31</v>
      </c>
      <c r="I20" s="1" t="s">
        <v>52</v>
      </c>
      <c r="J20" s="1" t="s">
        <v>38</v>
      </c>
    </row>
    <row r="21">
      <c r="A21" s="1" t="s">
        <v>73</v>
      </c>
      <c r="B21" s="2">
        <v>46086.0</v>
      </c>
      <c r="C21" s="1" t="s">
        <v>34</v>
      </c>
      <c r="D21" s="1">
        <v>520000.0</v>
      </c>
      <c r="E21" s="1" t="s">
        <v>12</v>
      </c>
      <c r="F21" s="1" t="s">
        <v>20</v>
      </c>
      <c r="G21" s="1">
        <v>75.0</v>
      </c>
      <c r="H21" s="1" t="s">
        <v>15</v>
      </c>
      <c r="I21" s="1" t="s">
        <v>37</v>
      </c>
      <c r="J21" s="1" t="s">
        <v>17</v>
      </c>
    </row>
    <row r="22">
      <c r="A22" s="1" t="s">
        <v>74</v>
      </c>
      <c r="B22" s="2">
        <v>46087.0</v>
      </c>
      <c r="C22" s="1" t="s">
        <v>75</v>
      </c>
      <c r="D22" s="1">
        <v>330000.0</v>
      </c>
      <c r="E22" s="1" t="s">
        <v>12</v>
      </c>
      <c r="F22" s="1" t="s">
        <v>13</v>
      </c>
      <c r="G22" s="1" t="s">
        <v>76</v>
      </c>
      <c r="I22" s="1" t="s">
        <v>43</v>
      </c>
      <c r="J22" s="1" t="s">
        <v>22</v>
      </c>
    </row>
    <row r="23">
      <c r="A23" s="1" t="s">
        <v>77</v>
      </c>
      <c r="B23" s="2">
        <v>46087.0</v>
      </c>
      <c r="C23" s="1" t="s">
        <v>19</v>
      </c>
      <c r="D23" s="1">
        <v>410000.0</v>
      </c>
      <c r="E23" s="1" t="s">
        <v>12</v>
      </c>
      <c r="F23" s="1" t="s">
        <v>13</v>
      </c>
      <c r="G23" s="1">
        <v>60.0</v>
      </c>
      <c r="H23" s="1" t="s">
        <v>15</v>
      </c>
      <c r="I23" s="1" t="s">
        <v>45</v>
      </c>
      <c r="J23" s="1" t="s">
        <v>17</v>
      </c>
    </row>
    <row r="24">
      <c r="A24" s="1" t="s">
        <v>78</v>
      </c>
      <c r="B24" s="2">
        <v>46082.0</v>
      </c>
      <c r="C24" s="1" t="s">
        <v>79</v>
      </c>
      <c r="D24" s="1">
        <v>5200.0</v>
      </c>
      <c r="E24" s="1" t="s">
        <v>80</v>
      </c>
      <c r="F24" s="1" t="s">
        <v>20</v>
      </c>
      <c r="G24" s="1">
        <v>42.0</v>
      </c>
      <c r="H24" s="1" t="s">
        <v>81</v>
      </c>
      <c r="I24" s="1" t="s">
        <v>26</v>
      </c>
      <c r="J24" s="1" t="s">
        <v>22</v>
      </c>
    </row>
    <row r="25">
      <c r="A25" s="1" t="s">
        <v>82</v>
      </c>
      <c r="B25" s="2">
        <v>46083.0</v>
      </c>
      <c r="C25" s="1" t="s">
        <v>83</v>
      </c>
      <c r="D25" s="1">
        <v>6100.0</v>
      </c>
      <c r="E25" s="1" t="s">
        <v>80</v>
      </c>
      <c r="F25" s="1" t="s">
        <v>41</v>
      </c>
      <c r="G25" s="1" t="s">
        <v>84</v>
      </c>
      <c r="H25" s="1" t="s">
        <v>81</v>
      </c>
      <c r="I25" s="1" t="s">
        <v>32</v>
      </c>
      <c r="J25" s="1" t="s">
        <v>22</v>
      </c>
    </row>
    <row r="26">
      <c r="A26" s="1" t="s">
        <v>85</v>
      </c>
      <c r="B26" s="2">
        <v>46084.0</v>
      </c>
      <c r="C26" s="1" t="s">
        <v>79</v>
      </c>
      <c r="D26" s="1">
        <v>2800.0</v>
      </c>
      <c r="E26" s="1" t="s">
        <v>80</v>
      </c>
      <c r="F26" s="1" t="s">
        <v>13</v>
      </c>
      <c r="G26" s="1">
        <v>38.0</v>
      </c>
      <c r="H26" s="1" t="s">
        <v>86</v>
      </c>
      <c r="I26" s="1" t="s">
        <v>37</v>
      </c>
      <c r="J26" s="1" t="s">
        <v>38</v>
      </c>
    </row>
    <row r="27">
      <c r="A27" s="1" t="s">
        <v>87</v>
      </c>
      <c r="B27" s="2">
        <v>46086.0</v>
      </c>
      <c r="C27" s="1" t="s">
        <v>83</v>
      </c>
      <c r="D27" s="1">
        <v>3300.0</v>
      </c>
      <c r="E27" s="1" t="s">
        <v>80</v>
      </c>
      <c r="F27" s="1" t="s">
        <v>67</v>
      </c>
      <c r="G27" s="1">
        <v>44.0</v>
      </c>
      <c r="H27" s="1" t="s">
        <v>81</v>
      </c>
      <c r="I27" s="1" t="s">
        <v>43</v>
      </c>
      <c r="J27" s="1" t="s">
        <v>27</v>
      </c>
    </row>
    <row r="28">
      <c r="A28" s="1" t="s">
        <v>88</v>
      </c>
      <c r="B28" s="2">
        <v>46082.0</v>
      </c>
      <c r="C28" s="1" t="s">
        <v>89</v>
      </c>
      <c r="D28" s="1">
        <v>7200.0</v>
      </c>
      <c r="E28" s="1" t="s">
        <v>90</v>
      </c>
      <c r="F28" s="1" t="s">
        <v>13</v>
      </c>
      <c r="G28" s="1">
        <v>49.0</v>
      </c>
      <c r="H28" s="1" t="s">
        <v>91</v>
      </c>
      <c r="I28" s="1" t="s">
        <v>45</v>
      </c>
      <c r="J28" s="1" t="s">
        <v>22</v>
      </c>
    </row>
    <row r="29">
      <c r="A29" s="1" t="s">
        <v>92</v>
      </c>
      <c r="B29" s="2">
        <v>46083.0</v>
      </c>
      <c r="C29" s="1" t="s">
        <v>93</v>
      </c>
      <c r="D29" s="1">
        <v>3100.0</v>
      </c>
      <c r="E29" s="1" t="s">
        <v>90</v>
      </c>
      <c r="F29" s="1" t="s">
        <v>25</v>
      </c>
      <c r="G29" s="1" t="s">
        <v>94</v>
      </c>
      <c r="H29" s="1" t="s">
        <v>95</v>
      </c>
      <c r="I29" s="1" t="s">
        <v>52</v>
      </c>
      <c r="J29" s="1" t="s">
        <v>22</v>
      </c>
    </row>
    <row r="30">
      <c r="A30" s="1" t="s">
        <v>96</v>
      </c>
      <c r="B30" s="2">
        <v>46085.0</v>
      </c>
      <c r="C30" s="1" t="s">
        <v>97</v>
      </c>
      <c r="D30" s="1">
        <v>2500.0</v>
      </c>
      <c r="E30" s="1" t="s">
        <v>90</v>
      </c>
      <c r="F30" s="1" t="s">
        <v>41</v>
      </c>
      <c r="G30" s="1" t="s">
        <v>98</v>
      </c>
      <c r="H30" s="1" t="s">
        <v>95</v>
      </c>
      <c r="I30" s="1" t="s">
        <v>55</v>
      </c>
      <c r="J30" s="1" t="s">
        <v>38</v>
      </c>
    </row>
    <row r="31">
      <c r="A31" s="1" t="s">
        <v>99</v>
      </c>
      <c r="B31" s="2">
        <v>46087.0</v>
      </c>
      <c r="C31" s="1" t="s">
        <v>89</v>
      </c>
      <c r="D31" s="1">
        <v>1800.0</v>
      </c>
      <c r="E31" s="1" t="s">
        <v>90</v>
      </c>
      <c r="F31" s="1" t="s">
        <v>67</v>
      </c>
      <c r="G31" s="1" t="s">
        <v>100</v>
      </c>
      <c r="H31" s="1" t="s">
        <v>95</v>
      </c>
      <c r="I31" s="1" t="s">
        <v>58</v>
      </c>
      <c r="J31" s="1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88"/>
  </cols>
  <sheetData>
    <row r="1">
      <c r="A1" s="1" t="s">
        <v>0</v>
      </c>
      <c r="B1" s="3" t="s">
        <v>1</v>
      </c>
      <c r="D1" s="1" t="s">
        <v>101</v>
      </c>
      <c r="E1" s="1" t="s">
        <v>2</v>
      </c>
      <c r="F1" s="1" t="s">
        <v>3</v>
      </c>
      <c r="G1" s="1" t="s">
        <v>102</v>
      </c>
      <c r="H1" s="1" t="s">
        <v>103</v>
      </c>
      <c r="I1" s="1" t="s">
        <v>4</v>
      </c>
      <c r="J1" s="1" t="s">
        <v>104</v>
      </c>
      <c r="K1" s="1" t="s">
        <v>5</v>
      </c>
      <c r="L1" s="1" t="s">
        <v>105</v>
      </c>
      <c r="M1" s="1" t="s">
        <v>6</v>
      </c>
      <c r="N1" s="1" t="s">
        <v>7</v>
      </c>
      <c r="O1" s="1" t="s">
        <v>8</v>
      </c>
      <c r="P1" s="1" t="s">
        <v>9</v>
      </c>
      <c r="R1" s="1" t="s">
        <v>106</v>
      </c>
      <c r="S1" s="1" t="s">
        <v>107</v>
      </c>
    </row>
    <row r="2">
      <c r="A2" s="1" t="s">
        <v>10</v>
      </c>
      <c r="B2" s="4">
        <v>46082.0</v>
      </c>
      <c r="C2" s="2"/>
      <c r="D2" s="1" t="s">
        <v>11</v>
      </c>
      <c r="E2" s="1" t="str">
        <f t="shared" ref="E2:E31" si="1">PROPER(TRIM(D2))</f>
        <v>Alpha Mart</v>
      </c>
      <c r="F2" s="1">
        <v>420000.0</v>
      </c>
      <c r="G2" s="1">
        <f t="array" ref="G2">F2* XLOOKUP(Q2,Sheet2!$D$2:$D$19,Sheet2!$C$2:$C$19,FALSE)</f>
        <v>4998</v>
      </c>
      <c r="H2" s="1" t="s">
        <v>12</v>
      </c>
      <c r="I2" s="1" t="s">
        <v>90</v>
      </c>
      <c r="J2" s="1" t="s">
        <v>13</v>
      </c>
      <c r="K2" s="1" t="str">
        <f>IFERROR(__xludf.DUMMYFUNCTION("ARRAYFORMULA(IF(J2:J1000="""", , PROPER(TRIM(REGEXREPLACE(J2:J1000, ""(?i) e05 timeout"", """")))))"),"Captured")</f>
        <v>Captured</v>
      </c>
      <c r="L2" s="1" t="s">
        <v>14</v>
      </c>
      <c r="M2" s="1">
        <f>IFERROR(__xludf.DUMMYFUNCTION("ARRAYFORMULA(IF(L2:L1000="""", , VALUE(REGEXREPLACE(TO_TEXT(L2:L1000), ""[^0-9]"", """"))))"),62.0)</f>
        <v>62</v>
      </c>
      <c r="N2" s="1" t="str">
        <f t="array" ref="N2">XLOOKUP(E2,Sheet3!$B$2:$B$6,Sheet3!$E$2:$E$6)</f>
        <v>APAC</v>
      </c>
      <c r="O2" s="1" t="s">
        <v>16</v>
      </c>
      <c r="P2" s="1" t="s">
        <v>17</v>
      </c>
      <c r="Q2" s="5" t="str">
        <f t="shared" ref="Q2:Q31" si="2">CONCATENATE(B2,H2)</f>
        <v>46082INR</v>
      </c>
      <c r="R2" s="5">
        <f t="shared" ref="R2:R31" si="3">IFS(
  AND(N2="APAC", G2&gt;5000), 1,
  AND(N2="EU", G2&gt;6000), 1,
  AND(N2="US", G2&gt;7000), 1,
  TRUE, 0
)</f>
        <v>0</v>
      </c>
      <c r="S2" s="5">
        <f t="shared" ref="S2:S31" si="4">IF(OR(M2&gt;=70, IFERROR(SEARCH("chargeback", K2),"")), 1, 0)</f>
        <v>0</v>
      </c>
    </row>
    <row r="3">
      <c r="A3" s="1" t="s">
        <v>18</v>
      </c>
      <c r="B3" s="4">
        <v>46082.0</v>
      </c>
      <c r="C3" s="2"/>
      <c r="D3" s="1" t="s">
        <v>19</v>
      </c>
      <c r="E3" s="1" t="str">
        <f t="shared" si="1"/>
        <v>Alpha Mart</v>
      </c>
      <c r="F3" s="1">
        <v>210000.0</v>
      </c>
      <c r="G3" s="1">
        <f t="array" ref="G3">F3* XLOOKUP(Q3,Sheet2!$D$2:$D$19,Sheet2!$C$2:$C$19,FALSE)</f>
        <v>2499</v>
      </c>
      <c r="H3" s="1" t="s">
        <v>12</v>
      </c>
      <c r="I3" s="1" t="s">
        <v>90</v>
      </c>
      <c r="J3" s="1" t="s">
        <v>20</v>
      </c>
      <c r="K3" s="1" t="str">
        <f>IFERROR(__xludf.DUMMYFUNCTION("""COMPUTED_VALUE"""),"Captured")</f>
        <v>Captured</v>
      </c>
      <c r="L3" s="1">
        <v>55.0</v>
      </c>
      <c r="M3" s="1">
        <f>IFERROR(__xludf.DUMMYFUNCTION("""COMPUTED_VALUE"""),55.0)</f>
        <v>55</v>
      </c>
      <c r="N3" s="1" t="str">
        <f t="array" ref="N3">XLOOKUP(E3,Sheet3!$B$2:$B$6,Sheet3!$E$2:$E$6)</f>
        <v>APAC</v>
      </c>
      <c r="O3" s="1" t="s">
        <v>21</v>
      </c>
      <c r="P3" s="1" t="s">
        <v>22</v>
      </c>
      <c r="Q3" s="5" t="str">
        <f t="shared" si="2"/>
        <v>46082INR</v>
      </c>
      <c r="R3" s="5">
        <f t="shared" si="3"/>
        <v>0</v>
      </c>
      <c r="S3" s="5">
        <f t="shared" si="4"/>
        <v>0</v>
      </c>
    </row>
    <row r="4">
      <c r="A4" s="1" t="s">
        <v>23</v>
      </c>
      <c r="B4" s="4">
        <v>46082.0</v>
      </c>
      <c r="C4" s="2"/>
      <c r="D4" s="1" t="s">
        <v>24</v>
      </c>
      <c r="E4" s="1" t="str">
        <f t="shared" si="1"/>
        <v>Beta Stores</v>
      </c>
      <c r="F4" s="1">
        <v>510000.0</v>
      </c>
      <c r="G4" s="1">
        <f t="array" ref="G4">F4* XLOOKUP(Q4,Sheet2!$D$2:$D$19,Sheet2!$C$2:$C$19,FALSE)</f>
        <v>6069</v>
      </c>
      <c r="H4" s="1" t="s">
        <v>12</v>
      </c>
      <c r="I4" s="1" t="s">
        <v>90</v>
      </c>
      <c r="J4" s="1" t="s">
        <v>25</v>
      </c>
      <c r="K4" s="1" t="str">
        <f>IFERROR(__xludf.DUMMYFUNCTION("""COMPUTED_VALUE"""),"Captured")</f>
        <v>Captured</v>
      </c>
      <c r="L4" s="1">
        <v>71.0</v>
      </c>
      <c r="M4" s="1">
        <f>IFERROR(__xludf.DUMMYFUNCTION("""COMPUTED_VALUE"""),71.0)</f>
        <v>71</v>
      </c>
      <c r="N4" s="1" t="str">
        <f t="array" ref="N4">XLOOKUP(E4,Sheet3!$B$2:$B$6,Sheet3!$E$2:$E$6)</f>
        <v>APAC</v>
      </c>
      <c r="O4" s="1" t="s">
        <v>26</v>
      </c>
      <c r="P4" s="1" t="s">
        <v>27</v>
      </c>
      <c r="Q4" s="5" t="str">
        <f t="shared" si="2"/>
        <v>46082INR</v>
      </c>
      <c r="R4" s="5">
        <f t="shared" si="3"/>
        <v>1</v>
      </c>
      <c r="S4" s="5">
        <f t="shared" si="4"/>
        <v>1</v>
      </c>
    </row>
    <row r="5">
      <c r="A5" s="1" t="s">
        <v>28</v>
      </c>
      <c r="B5" s="4">
        <v>46083.0</v>
      </c>
      <c r="C5" s="2"/>
      <c r="D5" s="1" t="s">
        <v>29</v>
      </c>
      <c r="E5" s="1" t="str">
        <f t="shared" si="1"/>
        <v>Beta Stores</v>
      </c>
      <c r="F5" s="1">
        <v>160000.0</v>
      </c>
      <c r="G5" s="1">
        <f t="array" ref="G5">F5* XLOOKUP(Q5,Sheet2!$D$2:$D$19,Sheet2!$C$2:$C$19,FALSE)</f>
        <v>1920</v>
      </c>
      <c r="H5" s="1" t="s">
        <v>12</v>
      </c>
      <c r="I5" s="1" t="s">
        <v>90</v>
      </c>
      <c r="J5" s="1" t="s">
        <v>30</v>
      </c>
      <c r="K5" s="1" t="str">
        <f>IFERROR(__xludf.DUMMYFUNCTION("""COMPUTED_VALUE"""),"Failed")</f>
        <v>Failed</v>
      </c>
      <c r="L5" s="1">
        <v>68.0</v>
      </c>
      <c r="M5" s="1">
        <f>IFERROR(__xludf.DUMMYFUNCTION("""COMPUTED_VALUE"""),68.0)</f>
        <v>68</v>
      </c>
      <c r="N5" s="1" t="str">
        <f t="array" ref="N5">XLOOKUP(E5,Sheet3!$B$2:$B$6,Sheet3!$E$2:$E$6)</f>
        <v>APAC</v>
      </c>
      <c r="O5" s="1" t="s">
        <v>32</v>
      </c>
      <c r="P5" s="1" t="s">
        <v>22</v>
      </c>
      <c r="Q5" s="5" t="str">
        <f t="shared" si="2"/>
        <v>46083INR</v>
      </c>
      <c r="R5" s="5">
        <f t="shared" si="3"/>
        <v>0</v>
      </c>
      <c r="S5" s="5">
        <f t="shared" si="4"/>
        <v>0</v>
      </c>
    </row>
    <row r="6">
      <c r="A6" s="1" t="s">
        <v>33</v>
      </c>
      <c r="B6" s="4">
        <v>46083.0</v>
      </c>
      <c r="C6" s="2"/>
      <c r="D6" s="1" t="s">
        <v>34</v>
      </c>
      <c r="E6" s="1" t="str">
        <f t="shared" si="1"/>
        <v>Alpha Mart</v>
      </c>
      <c r="F6" s="1">
        <v>390000.0</v>
      </c>
      <c r="G6" s="1">
        <f t="array" ref="G6">F6* XLOOKUP(Q6,Sheet2!$D$2:$D$19,Sheet2!$C$2:$C$19,FALSE)</f>
        <v>4680</v>
      </c>
      <c r="H6" s="1" t="s">
        <v>12</v>
      </c>
      <c r="I6" s="1" t="s">
        <v>90</v>
      </c>
      <c r="J6" s="1" t="s">
        <v>25</v>
      </c>
      <c r="K6" s="1" t="str">
        <f>IFERROR(__xludf.DUMMYFUNCTION("""COMPUTED_VALUE"""),"Captured")</f>
        <v>Captured</v>
      </c>
      <c r="L6" s="1">
        <v>58.0</v>
      </c>
      <c r="M6" s="1">
        <f>IFERROR(__xludf.DUMMYFUNCTION("""COMPUTED_VALUE"""),58.0)</f>
        <v>58</v>
      </c>
      <c r="N6" s="1" t="str">
        <f t="array" ref="N6">XLOOKUP(E6,Sheet3!$B$2:$B$6,Sheet3!$E$2:$E$6)</f>
        <v>APAC</v>
      </c>
      <c r="O6" s="1" t="s">
        <v>16</v>
      </c>
      <c r="P6" s="1" t="s">
        <v>17</v>
      </c>
      <c r="Q6" s="5" t="str">
        <f t="shared" si="2"/>
        <v>46083INR</v>
      </c>
      <c r="R6" s="5">
        <f t="shared" si="3"/>
        <v>0</v>
      </c>
      <c r="S6" s="5">
        <f t="shared" si="4"/>
        <v>0</v>
      </c>
    </row>
    <row r="7">
      <c r="A7" s="1" t="s">
        <v>35</v>
      </c>
      <c r="B7" s="4">
        <v>46083.0</v>
      </c>
      <c r="C7" s="2"/>
      <c r="D7" s="1" t="s">
        <v>29</v>
      </c>
      <c r="E7" s="1" t="str">
        <f t="shared" si="1"/>
        <v>Beta Stores</v>
      </c>
      <c r="F7" s="1">
        <v>275000.0</v>
      </c>
      <c r="G7" s="1">
        <f t="array" ref="G7">F7* XLOOKUP(Q7,Sheet2!$D$2:$D$19,Sheet2!$C$2:$C$19,FALSE)</f>
        <v>3300</v>
      </c>
      <c r="H7" s="1" t="s">
        <v>12</v>
      </c>
      <c r="I7" s="1" t="s">
        <v>90</v>
      </c>
      <c r="J7" s="1" t="s">
        <v>20</v>
      </c>
      <c r="K7" s="1" t="str">
        <f>IFERROR(__xludf.DUMMYFUNCTION("""COMPUTED_VALUE"""),"Captured")</f>
        <v>Captured</v>
      </c>
      <c r="L7" s="1" t="s">
        <v>36</v>
      </c>
      <c r="M7" s="1">
        <f>IFERROR(__xludf.DUMMYFUNCTION("""COMPUTED_VALUE"""),64.0)</f>
        <v>64</v>
      </c>
      <c r="N7" s="1" t="str">
        <f t="array" ref="N7">XLOOKUP(E7,Sheet3!$B$2:$B$6,Sheet3!$E$2:$E$6)</f>
        <v>APAC</v>
      </c>
      <c r="O7" s="1" t="s">
        <v>37</v>
      </c>
      <c r="P7" s="1" t="s">
        <v>38</v>
      </c>
      <c r="Q7" s="5" t="str">
        <f t="shared" si="2"/>
        <v>46083INR</v>
      </c>
      <c r="R7" s="5">
        <f t="shared" si="3"/>
        <v>0</v>
      </c>
      <c r="S7" s="5">
        <f t="shared" si="4"/>
        <v>0</v>
      </c>
    </row>
    <row r="8">
      <c r="A8" s="1" t="s">
        <v>39</v>
      </c>
      <c r="B8" s="4">
        <v>46083.0</v>
      </c>
      <c r="C8" s="2"/>
      <c r="D8" s="1" t="s">
        <v>40</v>
      </c>
      <c r="E8" s="1" t="str">
        <f t="shared" si="1"/>
        <v>Alpha Mart</v>
      </c>
      <c r="F8" s="1">
        <v>450000.0</v>
      </c>
      <c r="G8" s="1">
        <f t="array" ref="G8">F8* XLOOKUP(Q8,Sheet2!$D$2:$D$19,Sheet2!$C$2:$C$19,FALSE)</f>
        <v>5400</v>
      </c>
      <c r="H8" s="1" t="s">
        <v>12</v>
      </c>
      <c r="I8" s="1" t="s">
        <v>90</v>
      </c>
      <c r="J8" s="1" t="s">
        <v>41</v>
      </c>
      <c r="K8" s="1" t="str">
        <f>IFERROR(__xludf.DUMMYFUNCTION("""COMPUTED_VALUE"""),"Chargeback")</f>
        <v>Chargeback</v>
      </c>
      <c r="L8" s="1" t="s">
        <v>42</v>
      </c>
      <c r="M8" s="1">
        <f>IFERROR(__xludf.DUMMYFUNCTION("""COMPUTED_VALUE"""),83.0)</f>
        <v>83</v>
      </c>
      <c r="N8" s="1" t="str">
        <f t="array" ref="N8">XLOOKUP(E8,Sheet3!$B$2:$B$6,Sheet3!$E$2:$E$6)</f>
        <v>APAC</v>
      </c>
      <c r="O8" s="1" t="s">
        <v>43</v>
      </c>
      <c r="P8" s="1" t="s">
        <v>22</v>
      </c>
      <c r="Q8" s="5" t="str">
        <f t="shared" si="2"/>
        <v>46083INR</v>
      </c>
      <c r="R8" s="5">
        <f t="shared" si="3"/>
        <v>1</v>
      </c>
      <c r="S8" s="5">
        <f t="shared" si="4"/>
        <v>1</v>
      </c>
    </row>
    <row r="9">
      <c r="A9" s="1" t="s">
        <v>44</v>
      </c>
      <c r="B9" s="4">
        <v>46084.0</v>
      </c>
      <c r="C9" s="2"/>
      <c r="D9" s="1" t="s">
        <v>24</v>
      </c>
      <c r="E9" s="1" t="str">
        <f t="shared" si="1"/>
        <v>Beta Stores</v>
      </c>
      <c r="F9" s="1">
        <v>340000.0</v>
      </c>
      <c r="G9" s="1">
        <f t="array" ref="G9">F9* XLOOKUP(Q9,Sheet2!$D$2:$D$19,Sheet2!$C$2:$C$19,FALSE)</f>
        <v>4114</v>
      </c>
      <c r="H9" s="1" t="s">
        <v>12</v>
      </c>
      <c r="I9" s="1" t="s">
        <v>90</v>
      </c>
      <c r="J9" s="1" t="s">
        <v>20</v>
      </c>
      <c r="K9" s="1" t="str">
        <f>IFERROR(__xludf.DUMMYFUNCTION("""COMPUTED_VALUE"""),"Captured")</f>
        <v>Captured</v>
      </c>
      <c r="L9" s="1">
        <v>59.0</v>
      </c>
      <c r="M9" s="1">
        <f>IFERROR(__xludf.DUMMYFUNCTION("""COMPUTED_VALUE"""),59.0)</f>
        <v>59</v>
      </c>
      <c r="N9" s="1" t="str">
        <f t="array" ref="N9">XLOOKUP(E9,Sheet3!$B$2:$B$6,Sheet3!$E$2:$E$6)</f>
        <v>APAC</v>
      </c>
      <c r="O9" s="1" t="s">
        <v>45</v>
      </c>
      <c r="P9" s="1" t="s">
        <v>17</v>
      </c>
      <c r="Q9" s="5" t="str">
        <f t="shared" si="2"/>
        <v>46084INR</v>
      </c>
      <c r="R9" s="5">
        <f t="shared" si="3"/>
        <v>0</v>
      </c>
      <c r="S9" s="5">
        <f t="shared" si="4"/>
        <v>0</v>
      </c>
    </row>
    <row r="10">
      <c r="A10" s="1" t="s">
        <v>46</v>
      </c>
      <c r="B10" s="4">
        <v>46084.0</v>
      </c>
      <c r="C10" s="2"/>
      <c r="D10" s="1" t="s">
        <v>34</v>
      </c>
      <c r="E10" s="1" t="str">
        <f t="shared" si="1"/>
        <v>Alpha Mart</v>
      </c>
      <c r="F10" s="1">
        <v>125000.0</v>
      </c>
      <c r="G10" s="1">
        <f t="array" ref="G10">F10* XLOOKUP(Q10,Sheet2!$D$2:$D$19,Sheet2!$C$2:$C$19,FALSE)</f>
        <v>1512.5</v>
      </c>
      <c r="H10" s="1" t="s">
        <v>12</v>
      </c>
      <c r="I10" s="1" t="s">
        <v>90</v>
      </c>
      <c r="J10" s="1" t="s">
        <v>13</v>
      </c>
      <c r="K10" s="1" t="str">
        <f>IFERROR(__xludf.DUMMYFUNCTION("""COMPUTED_VALUE"""),"Captured")</f>
        <v>Captured</v>
      </c>
      <c r="L10" s="1">
        <v>46.0</v>
      </c>
      <c r="M10" s="1">
        <f>IFERROR(__xludf.DUMMYFUNCTION("""COMPUTED_VALUE"""),46.0)</f>
        <v>46</v>
      </c>
      <c r="N10" s="1" t="str">
        <f t="array" ref="N10">XLOOKUP(E10,Sheet3!$B$2:$B$6,Sheet3!$E$2:$E$6)</f>
        <v>APAC</v>
      </c>
      <c r="O10" s="1" t="s">
        <v>21</v>
      </c>
      <c r="P10" s="1" t="s">
        <v>38</v>
      </c>
      <c r="Q10" s="5" t="str">
        <f t="shared" si="2"/>
        <v>46084INR</v>
      </c>
      <c r="R10" s="5">
        <f t="shared" si="3"/>
        <v>0</v>
      </c>
      <c r="S10" s="5">
        <f t="shared" si="4"/>
        <v>0</v>
      </c>
    </row>
    <row r="11">
      <c r="A11" s="1" t="s">
        <v>47</v>
      </c>
      <c r="B11" s="4">
        <v>46084.0</v>
      </c>
      <c r="C11" s="2"/>
      <c r="D11" s="1" t="s">
        <v>48</v>
      </c>
      <c r="E11" s="1" t="str">
        <f t="shared" si="1"/>
        <v>Beta Stores</v>
      </c>
      <c r="F11" s="1">
        <v>610000.0</v>
      </c>
      <c r="G11" s="1">
        <f t="array" ref="G11">F11* XLOOKUP(Q11,Sheet2!$D$2:$D$19,Sheet2!$C$2:$C$19,FALSE)</f>
        <v>7381</v>
      </c>
      <c r="H11" s="1" t="s">
        <v>12</v>
      </c>
      <c r="I11" s="1" t="s">
        <v>90</v>
      </c>
      <c r="J11" s="1" t="s">
        <v>13</v>
      </c>
      <c r="K11" s="1" t="str">
        <f>IFERROR(__xludf.DUMMYFUNCTION("""COMPUTED_VALUE"""),"Captured")</f>
        <v>Captured</v>
      </c>
      <c r="L11" s="1" t="s">
        <v>49</v>
      </c>
      <c r="M11" s="1">
        <f>IFERROR(__xludf.DUMMYFUNCTION("""COMPUTED_VALUE"""),77.0)</f>
        <v>77</v>
      </c>
      <c r="N11" s="1" t="str">
        <f t="array" ref="N11">XLOOKUP(E11,Sheet3!$B$2:$B$6,Sheet3!$E$2:$E$6)</f>
        <v>APAC</v>
      </c>
      <c r="O11" s="1" t="s">
        <v>26</v>
      </c>
      <c r="P11" s="1" t="s">
        <v>22</v>
      </c>
      <c r="Q11" s="5" t="str">
        <f t="shared" si="2"/>
        <v>46084INR</v>
      </c>
      <c r="R11" s="5">
        <f t="shared" si="3"/>
        <v>1</v>
      </c>
      <c r="S11" s="5">
        <f t="shared" si="4"/>
        <v>1</v>
      </c>
    </row>
    <row r="12">
      <c r="A12" s="1" t="s">
        <v>50</v>
      </c>
      <c r="B12" s="4">
        <v>46084.0</v>
      </c>
      <c r="C12" s="2"/>
      <c r="D12" s="1" t="s">
        <v>40</v>
      </c>
      <c r="E12" s="1" t="str">
        <f t="shared" si="1"/>
        <v>Alpha Mart</v>
      </c>
      <c r="F12" s="1">
        <v>195000.0</v>
      </c>
      <c r="G12" s="1">
        <f t="array" ref="G12">F12* XLOOKUP(Q12,Sheet2!$D$2:$D$19,Sheet2!$C$2:$C$19,FALSE)</f>
        <v>2359.5</v>
      </c>
      <c r="H12" s="1" t="s">
        <v>12</v>
      </c>
      <c r="I12" s="1" t="s">
        <v>90</v>
      </c>
      <c r="J12" s="1" t="s">
        <v>51</v>
      </c>
      <c r="K12" s="1" t="str">
        <f>IFERROR(__xludf.DUMMYFUNCTION("""COMPUTED_VALUE"""),"Failed")</f>
        <v>Failed</v>
      </c>
      <c r="M12" s="5"/>
      <c r="N12" s="1" t="str">
        <f t="array" ref="N12">XLOOKUP(E12,Sheet3!$B$2:$B$6,Sheet3!$E$2:$E$6)</f>
        <v>APAC</v>
      </c>
      <c r="O12" s="1" t="s">
        <v>52</v>
      </c>
      <c r="P12" s="1" t="s">
        <v>17</v>
      </c>
      <c r="Q12" s="5" t="str">
        <f t="shared" si="2"/>
        <v>46084INR</v>
      </c>
      <c r="R12" s="5">
        <f t="shared" si="3"/>
        <v>0</v>
      </c>
      <c r="S12" s="5">
        <f t="shared" si="4"/>
        <v>0</v>
      </c>
    </row>
    <row r="13">
      <c r="A13" s="1" t="s">
        <v>53</v>
      </c>
      <c r="B13" s="4">
        <v>46085.0</v>
      </c>
      <c r="C13" s="2"/>
      <c r="D13" s="1" t="s">
        <v>29</v>
      </c>
      <c r="E13" s="1" t="str">
        <f t="shared" si="1"/>
        <v>Beta Stores</v>
      </c>
      <c r="F13" s="1">
        <v>250000.0</v>
      </c>
      <c r="G13" s="1">
        <f t="array" ref="G13">F13* XLOOKUP(Q13,Sheet2!$D$2:$D$19,Sheet2!$C$2:$C$19,FALSE)</f>
        <v>3000</v>
      </c>
      <c r="H13" s="1" t="s">
        <v>12</v>
      </c>
      <c r="I13" s="1" t="s">
        <v>90</v>
      </c>
      <c r="J13" s="1" t="s">
        <v>13</v>
      </c>
      <c r="K13" s="1" t="str">
        <f>IFERROR(__xludf.DUMMYFUNCTION("""COMPUTED_VALUE"""),"Captured")</f>
        <v>Captured</v>
      </c>
      <c r="L13" s="1" t="s">
        <v>54</v>
      </c>
      <c r="M13" s="1">
        <f>IFERROR(__xludf.DUMMYFUNCTION("""COMPUTED_VALUE"""),61.0)</f>
        <v>61</v>
      </c>
      <c r="N13" s="1" t="str">
        <f t="array" ref="N13">XLOOKUP(E13,Sheet3!$B$2:$B$6,Sheet3!$E$2:$E$6)</f>
        <v>APAC</v>
      </c>
      <c r="O13" s="1" t="s">
        <v>55</v>
      </c>
      <c r="P13" s="1" t="s">
        <v>22</v>
      </c>
      <c r="Q13" s="5" t="str">
        <f t="shared" si="2"/>
        <v>46085INR</v>
      </c>
      <c r="R13" s="5">
        <f t="shared" si="3"/>
        <v>0</v>
      </c>
      <c r="S13" s="5">
        <f t="shared" si="4"/>
        <v>0</v>
      </c>
    </row>
    <row r="14">
      <c r="A14" s="1" t="s">
        <v>56</v>
      </c>
      <c r="B14" s="4">
        <v>46085.0</v>
      </c>
      <c r="C14" s="2"/>
      <c r="D14" s="1" t="s">
        <v>11</v>
      </c>
      <c r="E14" s="1" t="str">
        <f t="shared" si="1"/>
        <v>Alpha Mart</v>
      </c>
      <c r="F14" s="1">
        <v>310000.0</v>
      </c>
      <c r="G14" s="1">
        <f t="array" ref="G14">F14* XLOOKUP(Q14,Sheet2!$D$2:$D$19,Sheet2!$C$2:$C$19,FALSE)</f>
        <v>3720</v>
      </c>
      <c r="H14" s="1" t="s">
        <v>12</v>
      </c>
      <c r="I14" s="1" t="s">
        <v>90</v>
      </c>
      <c r="J14" s="1" t="s">
        <v>13</v>
      </c>
      <c r="K14" s="1" t="str">
        <f>IFERROR(__xludf.DUMMYFUNCTION("""COMPUTED_VALUE"""),"Captured")</f>
        <v>Captured</v>
      </c>
      <c r="L14" s="1" t="s">
        <v>57</v>
      </c>
      <c r="M14" s="1">
        <f>IFERROR(__xludf.DUMMYFUNCTION("""COMPUTED_VALUE"""),54.0)</f>
        <v>54</v>
      </c>
      <c r="N14" s="1" t="str">
        <f t="array" ref="N14">XLOOKUP(E14,Sheet3!$B$2:$B$6,Sheet3!$E$2:$E$6)</f>
        <v>APAC</v>
      </c>
      <c r="O14" s="1" t="s">
        <v>58</v>
      </c>
      <c r="P14" s="1" t="s">
        <v>17</v>
      </c>
      <c r="Q14" s="5" t="str">
        <f t="shared" si="2"/>
        <v>46085INR</v>
      </c>
      <c r="R14" s="5">
        <f t="shared" si="3"/>
        <v>0</v>
      </c>
      <c r="S14" s="5">
        <f t="shared" si="4"/>
        <v>0</v>
      </c>
    </row>
    <row r="15">
      <c r="A15" s="1" t="s">
        <v>59</v>
      </c>
      <c r="B15" s="4">
        <v>46085.0</v>
      </c>
      <c r="C15" s="2"/>
      <c r="D15" s="1" t="s">
        <v>29</v>
      </c>
      <c r="E15" s="1" t="str">
        <f t="shared" si="1"/>
        <v>Beta Stores</v>
      </c>
      <c r="F15" s="1">
        <v>470000.0</v>
      </c>
      <c r="G15" s="1">
        <f t="array" ref="G15">F15* XLOOKUP(Q15,Sheet2!$D$2:$D$19,Sheet2!$C$2:$C$19,FALSE)</f>
        <v>5640</v>
      </c>
      <c r="H15" s="1" t="s">
        <v>12</v>
      </c>
      <c r="I15" s="1" t="s">
        <v>90</v>
      </c>
      <c r="J15" s="1" t="s">
        <v>13</v>
      </c>
      <c r="K15" s="1" t="str">
        <f>IFERROR(__xludf.DUMMYFUNCTION("""COMPUTED_VALUE"""),"Captured")</f>
        <v>Captured</v>
      </c>
      <c r="L15" s="1" t="s">
        <v>60</v>
      </c>
      <c r="M15" s="1">
        <f>IFERROR(__xludf.DUMMYFUNCTION("""COMPUTED_VALUE"""),73.0)</f>
        <v>73</v>
      </c>
      <c r="N15" s="1" t="str">
        <f t="array" ref="N15">XLOOKUP(E15,Sheet3!$B$2:$B$6,Sheet3!$E$2:$E$6)</f>
        <v>APAC</v>
      </c>
      <c r="O15" s="1" t="s">
        <v>16</v>
      </c>
      <c r="P15" s="1" t="s">
        <v>27</v>
      </c>
      <c r="Q15" s="5" t="str">
        <f t="shared" si="2"/>
        <v>46085INR</v>
      </c>
      <c r="R15" s="5">
        <f t="shared" si="3"/>
        <v>1</v>
      </c>
      <c r="S15" s="5">
        <f t="shared" si="4"/>
        <v>1</v>
      </c>
    </row>
    <row r="16">
      <c r="A16" s="1" t="s">
        <v>61</v>
      </c>
      <c r="B16" s="4">
        <v>46085.0</v>
      </c>
      <c r="C16" s="2"/>
      <c r="D16" s="1" t="s">
        <v>34</v>
      </c>
      <c r="E16" s="1" t="str">
        <f t="shared" si="1"/>
        <v>Alpha Mart</v>
      </c>
      <c r="F16" s="1">
        <v>130000.0</v>
      </c>
      <c r="G16" s="1">
        <f t="array" ref="G16">F16* XLOOKUP(Q16,Sheet2!$D$2:$D$19,Sheet2!$C$2:$C$19,FALSE)</f>
        <v>1560</v>
      </c>
      <c r="H16" s="1" t="s">
        <v>12</v>
      </c>
      <c r="I16" s="1" t="s">
        <v>90</v>
      </c>
      <c r="J16" s="1" t="s">
        <v>13</v>
      </c>
      <c r="K16" s="1" t="str">
        <f>IFERROR(__xludf.DUMMYFUNCTION("""COMPUTED_VALUE"""),"Captured")</f>
        <v>Captured</v>
      </c>
      <c r="L16" s="1" t="s">
        <v>62</v>
      </c>
      <c r="M16" s="1">
        <f>IFERROR(__xludf.DUMMYFUNCTION("""COMPUTED_VALUE"""),52.0)</f>
        <v>52</v>
      </c>
      <c r="N16" s="1" t="str">
        <f t="array" ref="N16">XLOOKUP(E16,Sheet3!$B$2:$B$6,Sheet3!$E$2:$E$6)</f>
        <v>APAC</v>
      </c>
      <c r="O16" s="1" t="s">
        <v>21</v>
      </c>
      <c r="P16" s="1" t="s">
        <v>22</v>
      </c>
      <c r="Q16" s="5" t="str">
        <f t="shared" si="2"/>
        <v>46085INR</v>
      </c>
      <c r="R16" s="5">
        <f t="shared" si="3"/>
        <v>0</v>
      </c>
      <c r="S16" s="5">
        <f t="shared" si="4"/>
        <v>0</v>
      </c>
    </row>
    <row r="17">
      <c r="A17" s="1" t="s">
        <v>63</v>
      </c>
      <c r="B17" s="4">
        <v>46086.0</v>
      </c>
      <c r="C17" s="2"/>
      <c r="D17" s="1" t="s">
        <v>29</v>
      </c>
      <c r="E17" s="1" t="str">
        <f t="shared" si="1"/>
        <v>Beta Stores</v>
      </c>
      <c r="F17" s="1">
        <v>220000.0</v>
      </c>
      <c r="G17" s="1">
        <f t="array" ref="G17">F17* XLOOKUP(Q17,Sheet2!$D$2:$D$19,Sheet2!$C$2:$C$19,FALSE)</f>
        <v>2596</v>
      </c>
      <c r="H17" s="1" t="s">
        <v>12</v>
      </c>
      <c r="I17" s="1" t="s">
        <v>90</v>
      </c>
      <c r="J17" s="1" t="s">
        <v>64</v>
      </c>
      <c r="K17" s="1" t="str">
        <f>IFERROR(__xludf.DUMMYFUNCTION("""COMPUTED_VALUE"""),"Failed")</f>
        <v>Failed</v>
      </c>
      <c r="L17" s="1" t="s">
        <v>65</v>
      </c>
      <c r="M17" s="1">
        <f>IFERROR(__xludf.DUMMYFUNCTION("""COMPUTED_VALUE"""),69.0)</f>
        <v>69</v>
      </c>
      <c r="N17" s="1" t="str">
        <f t="array" ref="N17">XLOOKUP(E17,Sheet3!$B$2:$B$6,Sheet3!$E$2:$E$6)</f>
        <v>APAC</v>
      </c>
      <c r="O17" s="1" t="s">
        <v>52</v>
      </c>
      <c r="P17" s="1" t="s">
        <v>22</v>
      </c>
      <c r="Q17" s="5" t="str">
        <f t="shared" si="2"/>
        <v>46086INR</v>
      </c>
      <c r="R17" s="5">
        <f t="shared" si="3"/>
        <v>0</v>
      </c>
      <c r="S17" s="5">
        <f t="shared" si="4"/>
        <v>0</v>
      </c>
    </row>
    <row r="18">
      <c r="A18" s="1" t="s">
        <v>66</v>
      </c>
      <c r="B18" s="4">
        <v>46086.0</v>
      </c>
      <c r="C18" s="2"/>
      <c r="D18" s="1" t="s">
        <v>29</v>
      </c>
      <c r="E18" s="1" t="str">
        <f t="shared" si="1"/>
        <v>Beta Stores</v>
      </c>
      <c r="F18" s="1">
        <v>180000.0</v>
      </c>
      <c r="G18" s="1">
        <f t="array" ref="G18">F18* XLOOKUP(Q18,Sheet2!$D$2:$D$19,Sheet2!$C$2:$C$19,FALSE)</f>
        <v>2124</v>
      </c>
      <c r="H18" s="1" t="s">
        <v>12</v>
      </c>
      <c r="I18" s="1" t="s">
        <v>90</v>
      </c>
      <c r="J18" s="1" t="s">
        <v>67</v>
      </c>
      <c r="K18" s="1" t="str">
        <f>IFERROR(__xludf.DUMMYFUNCTION("""COMPUTED_VALUE"""),"Failed")</f>
        <v>Failed</v>
      </c>
      <c r="L18" s="1" t="s">
        <v>68</v>
      </c>
      <c r="M18" s="1">
        <f>IFERROR(__xludf.DUMMYFUNCTION("""COMPUTED_VALUE"""),72.0)</f>
        <v>72</v>
      </c>
      <c r="N18" s="1" t="str">
        <f t="array" ref="N18">XLOOKUP(E18,Sheet3!$B$2:$B$6,Sheet3!$E$2:$E$6)</f>
        <v>APAC</v>
      </c>
      <c r="O18" s="1" t="s">
        <v>52</v>
      </c>
      <c r="P18" s="1" t="s">
        <v>22</v>
      </c>
      <c r="Q18" s="5" t="str">
        <f t="shared" si="2"/>
        <v>46086INR</v>
      </c>
      <c r="R18" s="5">
        <f t="shared" si="3"/>
        <v>0</v>
      </c>
      <c r="S18" s="5">
        <f t="shared" si="4"/>
        <v>1</v>
      </c>
    </row>
    <row r="19">
      <c r="A19" s="1" t="s">
        <v>69</v>
      </c>
      <c r="B19" s="4">
        <v>46086.0</v>
      </c>
      <c r="C19" s="2"/>
      <c r="D19" s="1" t="s">
        <v>24</v>
      </c>
      <c r="E19" s="1" t="str">
        <f t="shared" si="1"/>
        <v>Beta Stores</v>
      </c>
      <c r="F19" s="1">
        <v>145000.0</v>
      </c>
      <c r="G19" s="1">
        <f t="array" ref="G19">F19* XLOOKUP(Q19,Sheet2!$D$2:$D$19,Sheet2!$C$2:$C$19,FALSE)</f>
        <v>1711</v>
      </c>
      <c r="H19" s="1" t="s">
        <v>12</v>
      </c>
      <c r="I19" s="1" t="s">
        <v>90</v>
      </c>
      <c r="J19" s="1" t="s">
        <v>41</v>
      </c>
      <c r="K19" s="1" t="str">
        <f>IFERROR(__xludf.DUMMYFUNCTION("""COMPUTED_VALUE"""),"Chargeback")</f>
        <v>Chargeback</v>
      </c>
      <c r="L19" s="1" t="s">
        <v>70</v>
      </c>
      <c r="M19" s="1">
        <f>IFERROR(__xludf.DUMMYFUNCTION("""COMPUTED_VALUE"""),86.0)</f>
        <v>86</v>
      </c>
      <c r="N19" s="1" t="str">
        <f t="array" ref="N19">XLOOKUP(E19,Sheet3!$B$2:$B$6,Sheet3!$E$2:$E$6)</f>
        <v>APAC</v>
      </c>
      <c r="O19" s="1" t="s">
        <v>52</v>
      </c>
      <c r="P19" s="1" t="s">
        <v>17</v>
      </c>
      <c r="Q19" s="5" t="str">
        <f t="shared" si="2"/>
        <v>46086INR</v>
      </c>
      <c r="R19" s="5">
        <f t="shared" si="3"/>
        <v>0</v>
      </c>
      <c r="S19" s="5">
        <f t="shared" si="4"/>
        <v>1</v>
      </c>
    </row>
    <row r="20">
      <c r="A20" s="1" t="s">
        <v>71</v>
      </c>
      <c r="B20" s="4">
        <v>46086.0</v>
      </c>
      <c r="C20" s="2"/>
      <c r="D20" s="1" t="s">
        <v>40</v>
      </c>
      <c r="E20" s="1" t="str">
        <f t="shared" si="1"/>
        <v>Alpha Mart</v>
      </c>
      <c r="F20" s="1">
        <v>260000.0</v>
      </c>
      <c r="G20" s="1">
        <f t="array" ref="G20">F20* XLOOKUP(Q20,Sheet2!$D$2:$D$19,Sheet2!$C$2:$C$19,FALSE)</f>
        <v>3068</v>
      </c>
      <c r="H20" s="1" t="s">
        <v>12</v>
      </c>
      <c r="I20" s="1" t="s">
        <v>90</v>
      </c>
      <c r="J20" s="1" t="s">
        <v>67</v>
      </c>
      <c r="K20" s="1" t="str">
        <f>IFERROR(__xludf.DUMMYFUNCTION("""COMPUTED_VALUE"""),"Failed")</f>
        <v>Failed</v>
      </c>
      <c r="L20" s="1" t="s">
        <v>72</v>
      </c>
      <c r="M20" s="1">
        <f>IFERROR(__xludf.DUMMYFUNCTION("""COMPUTED_VALUE"""),67.0)</f>
        <v>67</v>
      </c>
      <c r="N20" s="1" t="str">
        <f t="array" ref="N20">XLOOKUP(E20,Sheet3!$B$2:$B$6,Sheet3!$E$2:$E$6)</f>
        <v>APAC</v>
      </c>
      <c r="O20" s="1" t="s">
        <v>52</v>
      </c>
      <c r="P20" s="1" t="s">
        <v>38</v>
      </c>
      <c r="Q20" s="5" t="str">
        <f t="shared" si="2"/>
        <v>46086INR</v>
      </c>
      <c r="R20" s="5">
        <f t="shared" si="3"/>
        <v>0</v>
      </c>
      <c r="S20" s="5">
        <f t="shared" si="4"/>
        <v>0</v>
      </c>
    </row>
    <row r="21">
      <c r="A21" s="1" t="s">
        <v>73</v>
      </c>
      <c r="B21" s="4">
        <v>46086.0</v>
      </c>
      <c r="C21" s="2"/>
      <c r="D21" s="1" t="s">
        <v>34</v>
      </c>
      <c r="E21" s="1" t="str">
        <f t="shared" si="1"/>
        <v>Alpha Mart</v>
      </c>
      <c r="F21" s="1">
        <v>520000.0</v>
      </c>
      <c r="G21" s="1">
        <f t="array" ref="G21">F21* XLOOKUP(Q21,Sheet2!$D$2:$D$19,Sheet2!$C$2:$C$19,FALSE)</f>
        <v>6136</v>
      </c>
      <c r="H21" s="1" t="s">
        <v>12</v>
      </c>
      <c r="I21" s="1" t="s">
        <v>90</v>
      </c>
      <c r="J21" s="1" t="s">
        <v>20</v>
      </c>
      <c r="K21" s="1" t="str">
        <f>IFERROR(__xludf.DUMMYFUNCTION("""COMPUTED_VALUE"""),"Captured")</f>
        <v>Captured</v>
      </c>
      <c r="L21" s="1">
        <v>75.0</v>
      </c>
      <c r="M21" s="1">
        <f>IFERROR(__xludf.DUMMYFUNCTION("""COMPUTED_VALUE"""),75.0)</f>
        <v>75</v>
      </c>
      <c r="N21" s="1" t="str">
        <f t="array" ref="N21">XLOOKUP(E21,Sheet3!$B$2:$B$6,Sheet3!$E$2:$E$6)</f>
        <v>APAC</v>
      </c>
      <c r="O21" s="1" t="s">
        <v>37</v>
      </c>
      <c r="P21" s="1" t="s">
        <v>17</v>
      </c>
      <c r="Q21" s="5" t="str">
        <f t="shared" si="2"/>
        <v>46086INR</v>
      </c>
      <c r="R21" s="5">
        <f t="shared" si="3"/>
        <v>1</v>
      </c>
      <c r="S21" s="5">
        <f t="shared" si="4"/>
        <v>1</v>
      </c>
    </row>
    <row r="22">
      <c r="A22" s="1" t="s">
        <v>74</v>
      </c>
      <c r="B22" s="4">
        <v>46087.0</v>
      </c>
      <c r="C22" s="2"/>
      <c r="D22" s="1" t="s">
        <v>75</v>
      </c>
      <c r="E22" s="1" t="str">
        <f t="shared" si="1"/>
        <v>Beta Stores</v>
      </c>
      <c r="F22" s="1">
        <v>330000.0</v>
      </c>
      <c r="G22" s="1">
        <f t="array" ref="G22">F22* XLOOKUP(Q22,Sheet2!$D$2:$D$19,Sheet2!$C$2:$C$19,FALSE)</f>
        <v>3927</v>
      </c>
      <c r="H22" s="1" t="s">
        <v>12</v>
      </c>
      <c r="I22" s="1" t="s">
        <v>90</v>
      </c>
      <c r="J22" s="1" t="s">
        <v>13</v>
      </c>
      <c r="K22" s="1" t="str">
        <f>IFERROR(__xludf.DUMMYFUNCTION("""COMPUTED_VALUE"""),"Captured")</f>
        <v>Captured</v>
      </c>
      <c r="L22" s="1" t="s">
        <v>76</v>
      </c>
      <c r="M22" s="1">
        <f>IFERROR(__xludf.DUMMYFUNCTION("""COMPUTED_VALUE"""),63.0)</f>
        <v>63</v>
      </c>
      <c r="N22" s="1" t="str">
        <f t="array" ref="N22">XLOOKUP(E22,Sheet3!$B$2:$B$6,Sheet3!$E$2:$E$6)</f>
        <v>APAC</v>
      </c>
      <c r="O22" s="1" t="s">
        <v>43</v>
      </c>
      <c r="P22" s="1" t="s">
        <v>22</v>
      </c>
      <c r="Q22" s="5" t="str">
        <f t="shared" si="2"/>
        <v>46087INR</v>
      </c>
      <c r="R22" s="5">
        <f t="shared" si="3"/>
        <v>0</v>
      </c>
      <c r="S22" s="5">
        <f t="shared" si="4"/>
        <v>0</v>
      </c>
    </row>
    <row r="23">
      <c r="A23" s="1" t="s">
        <v>77</v>
      </c>
      <c r="B23" s="4">
        <v>46087.0</v>
      </c>
      <c r="C23" s="2"/>
      <c r="D23" s="1" t="s">
        <v>19</v>
      </c>
      <c r="E23" s="1" t="str">
        <f t="shared" si="1"/>
        <v>Alpha Mart</v>
      </c>
      <c r="F23" s="1">
        <v>410000.0</v>
      </c>
      <c r="G23" s="1">
        <f t="array" ref="G23">F23* XLOOKUP(Q23,Sheet2!$D$2:$D$19,Sheet2!$C$2:$C$19,FALSE)</f>
        <v>4879</v>
      </c>
      <c r="H23" s="1" t="s">
        <v>12</v>
      </c>
      <c r="I23" s="1" t="s">
        <v>90</v>
      </c>
      <c r="J23" s="1" t="s">
        <v>13</v>
      </c>
      <c r="K23" s="1" t="str">
        <f>IFERROR(__xludf.DUMMYFUNCTION("""COMPUTED_VALUE"""),"Captured")</f>
        <v>Captured</v>
      </c>
      <c r="L23" s="1">
        <v>60.0</v>
      </c>
      <c r="M23" s="1">
        <f>IFERROR(__xludf.DUMMYFUNCTION("""COMPUTED_VALUE"""),60.0)</f>
        <v>60</v>
      </c>
      <c r="N23" s="1" t="str">
        <f t="array" ref="N23">XLOOKUP(E23,Sheet3!$B$2:$B$6,Sheet3!$E$2:$E$6)</f>
        <v>APAC</v>
      </c>
      <c r="O23" s="1" t="s">
        <v>45</v>
      </c>
      <c r="P23" s="1" t="s">
        <v>17</v>
      </c>
      <c r="Q23" s="5" t="str">
        <f t="shared" si="2"/>
        <v>46087INR</v>
      </c>
      <c r="R23" s="5">
        <f t="shared" si="3"/>
        <v>0</v>
      </c>
      <c r="S23" s="5">
        <f t="shared" si="4"/>
        <v>0</v>
      </c>
    </row>
    <row r="24">
      <c r="A24" s="1" t="s">
        <v>78</v>
      </c>
      <c r="B24" s="4">
        <v>46082.0</v>
      </c>
      <c r="C24" s="2"/>
      <c r="D24" s="1" t="s">
        <v>79</v>
      </c>
      <c r="E24" s="1" t="str">
        <f t="shared" si="1"/>
        <v>City Pharma</v>
      </c>
      <c r="F24" s="1">
        <v>5200.0</v>
      </c>
      <c r="G24" s="1">
        <f t="array" ref="G24">F24* XLOOKUP(Q24,Sheet2!$D$2:$D$19,Sheet2!$C$2:$C$19,FALSE)</f>
        <v>5616</v>
      </c>
      <c r="H24" s="1" t="s">
        <v>80</v>
      </c>
      <c r="I24" s="1" t="s">
        <v>90</v>
      </c>
      <c r="J24" s="1" t="s">
        <v>20</v>
      </c>
      <c r="K24" s="1" t="str">
        <f>IFERROR(__xludf.DUMMYFUNCTION("""COMPUTED_VALUE"""),"Captured")</f>
        <v>Captured</v>
      </c>
      <c r="L24" s="1">
        <v>42.0</v>
      </c>
      <c r="M24" s="1">
        <f>IFERROR(__xludf.DUMMYFUNCTION("""COMPUTED_VALUE"""),42.0)</f>
        <v>42</v>
      </c>
      <c r="N24" s="1" t="str">
        <f t="array" ref="N24">XLOOKUP(E24,Sheet3!$B$2:$B$6,Sheet3!$E$2:$E$6)</f>
        <v>EU</v>
      </c>
      <c r="O24" s="1" t="s">
        <v>26</v>
      </c>
      <c r="P24" s="1" t="s">
        <v>22</v>
      </c>
      <c r="Q24" s="5" t="str">
        <f t="shared" si="2"/>
        <v>46082EUR</v>
      </c>
      <c r="R24" s="5">
        <f t="shared" si="3"/>
        <v>0</v>
      </c>
      <c r="S24" s="5">
        <f t="shared" si="4"/>
        <v>0</v>
      </c>
    </row>
    <row r="25">
      <c r="A25" s="1" t="s">
        <v>82</v>
      </c>
      <c r="B25" s="4">
        <v>46083.0</v>
      </c>
      <c r="C25" s="2"/>
      <c r="D25" s="1" t="s">
        <v>83</v>
      </c>
      <c r="E25" s="1" t="str">
        <f t="shared" si="1"/>
        <v>Eco Home</v>
      </c>
      <c r="F25" s="1">
        <v>6100.0</v>
      </c>
      <c r="G25" s="1">
        <f t="array" ref="G25">F25* XLOOKUP(Q25,Sheet2!$D$2:$D$19,Sheet2!$C$2:$C$19,FALSE)</f>
        <v>6649</v>
      </c>
      <c r="H25" s="1" t="s">
        <v>80</v>
      </c>
      <c r="I25" s="1" t="s">
        <v>90</v>
      </c>
      <c r="J25" s="1" t="s">
        <v>41</v>
      </c>
      <c r="K25" s="1" t="str">
        <f>IFERROR(__xludf.DUMMYFUNCTION("""COMPUTED_VALUE"""),"Chargeback")</f>
        <v>Chargeback</v>
      </c>
      <c r="L25" s="1" t="s">
        <v>84</v>
      </c>
      <c r="M25" s="1">
        <f>IFERROR(__xludf.DUMMYFUNCTION("""COMPUTED_VALUE"""),65.0)</f>
        <v>65</v>
      </c>
      <c r="N25" s="1" t="str">
        <f t="array" ref="N25">XLOOKUP(E25,Sheet3!$B$2:$B$6,Sheet3!$E$2:$E$6)</f>
        <v>EU</v>
      </c>
      <c r="O25" s="1" t="s">
        <v>32</v>
      </c>
      <c r="P25" s="1" t="s">
        <v>22</v>
      </c>
      <c r="Q25" s="5" t="str">
        <f t="shared" si="2"/>
        <v>46083EUR</v>
      </c>
      <c r="R25" s="5">
        <f t="shared" si="3"/>
        <v>1</v>
      </c>
      <c r="S25" s="5">
        <f t="shared" si="4"/>
        <v>1</v>
      </c>
    </row>
    <row r="26">
      <c r="A26" s="1" t="s">
        <v>85</v>
      </c>
      <c r="B26" s="4">
        <v>46084.0</v>
      </c>
      <c r="C26" s="2"/>
      <c r="D26" s="1" t="s">
        <v>79</v>
      </c>
      <c r="E26" s="1" t="str">
        <f t="shared" si="1"/>
        <v>City Pharma</v>
      </c>
      <c r="F26" s="1">
        <v>2800.0</v>
      </c>
      <c r="G26" s="1">
        <f t="array" ref="G26">F26* XLOOKUP(Q26,Sheet2!$D$2:$D$19,Sheet2!$C$2:$C$19,FALSE)</f>
        <v>3024</v>
      </c>
      <c r="H26" s="1" t="s">
        <v>80</v>
      </c>
      <c r="I26" s="1" t="s">
        <v>90</v>
      </c>
      <c r="J26" s="1" t="s">
        <v>13</v>
      </c>
      <c r="K26" s="1" t="str">
        <f>IFERROR(__xludf.DUMMYFUNCTION("""COMPUTED_VALUE"""),"Captured")</f>
        <v>Captured</v>
      </c>
      <c r="L26" s="1">
        <v>38.0</v>
      </c>
      <c r="M26" s="1">
        <f>IFERROR(__xludf.DUMMYFUNCTION("""COMPUTED_VALUE"""),38.0)</f>
        <v>38</v>
      </c>
      <c r="N26" s="1" t="str">
        <f t="array" ref="N26">XLOOKUP(E26,Sheet3!$B$2:$B$6,Sheet3!$E$2:$E$6)</f>
        <v>EU</v>
      </c>
      <c r="O26" s="1" t="s">
        <v>37</v>
      </c>
      <c r="P26" s="1" t="s">
        <v>38</v>
      </c>
      <c r="Q26" s="5" t="str">
        <f t="shared" si="2"/>
        <v>46084EUR</v>
      </c>
      <c r="R26" s="5">
        <f t="shared" si="3"/>
        <v>0</v>
      </c>
      <c r="S26" s="5">
        <f t="shared" si="4"/>
        <v>0</v>
      </c>
    </row>
    <row r="27">
      <c r="A27" s="1" t="s">
        <v>87</v>
      </c>
      <c r="B27" s="4">
        <v>46086.0</v>
      </c>
      <c r="C27" s="2"/>
      <c r="D27" s="1" t="s">
        <v>83</v>
      </c>
      <c r="E27" s="1" t="str">
        <f t="shared" si="1"/>
        <v>Eco Home</v>
      </c>
      <c r="F27" s="1">
        <v>3300.0</v>
      </c>
      <c r="G27" s="1">
        <f t="array" ref="G27">F27* XLOOKUP(Q27,Sheet2!$D$2:$D$19,Sheet2!$C$2:$C$19,FALSE)</f>
        <v>3597</v>
      </c>
      <c r="H27" s="1" t="s">
        <v>80</v>
      </c>
      <c r="I27" s="1" t="s">
        <v>90</v>
      </c>
      <c r="J27" s="1" t="s">
        <v>67</v>
      </c>
      <c r="K27" s="1" t="str">
        <f>IFERROR(__xludf.DUMMYFUNCTION("""COMPUTED_VALUE"""),"Failed")</f>
        <v>Failed</v>
      </c>
      <c r="L27" s="1">
        <v>44.0</v>
      </c>
      <c r="M27" s="1">
        <f>IFERROR(__xludf.DUMMYFUNCTION("""COMPUTED_VALUE"""),44.0)</f>
        <v>44</v>
      </c>
      <c r="N27" s="1" t="str">
        <f t="array" ref="N27">XLOOKUP(E27,Sheet3!$B$2:$B$6,Sheet3!$E$2:$E$6)</f>
        <v>EU</v>
      </c>
      <c r="O27" s="1" t="s">
        <v>43</v>
      </c>
      <c r="P27" s="1" t="s">
        <v>27</v>
      </c>
      <c r="Q27" s="5" t="str">
        <f t="shared" si="2"/>
        <v>46086EUR</v>
      </c>
      <c r="R27" s="5">
        <f t="shared" si="3"/>
        <v>0</v>
      </c>
      <c r="S27" s="5">
        <f t="shared" si="4"/>
        <v>0</v>
      </c>
    </row>
    <row r="28">
      <c r="A28" s="1" t="s">
        <v>88</v>
      </c>
      <c r="B28" s="4">
        <v>46082.0</v>
      </c>
      <c r="C28" s="2"/>
      <c r="D28" s="1" t="s">
        <v>89</v>
      </c>
      <c r="E28" s="1" t="str">
        <f t="shared" si="1"/>
        <v>Delta Travels</v>
      </c>
      <c r="F28" s="1">
        <v>7200.0</v>
      </c>
      <c r="G28" s="1">
        <f t="array" ref="G28">F28* XLOOKUP(Q28,Sheet2!$D$2:$D$19,Sheet2!$C$2:$C$19,FALSE)</f>
        <v>7200</v>
      </c>
      <c r="H28" s="1" t="s">
        <v>90</v>
      </c>
      <c r="I28" s="1" t="s">
        <v>90</v>
      </c>
      <c r="J28" s="1" t="s">
        <v>13</v>
      </c>
      <c r="K28" s="1" t="str">
        <f>IFERROR(__xludf.DUMMYFUNCTION("""COMPUTED_VALUE"""),"Captured")</f>
        <v>Captured</v>
      </c>
      <c r="L28" s="1">
        <v>49.0</v>
      </c>
      <c r="M28" s="1">
        <f>IFERROR(__xludf.DUMMYFUNCTION("""COMPUTED_VALUE"""),49.0)</f>
        <v>49</v>
      </c>
      <c r="N28" s="1" t="str">
        <f t="array" ref="N28">XLOOKUP(E28,Sheet3!$B$2:$B$6,Sheet3!$E$2:$E$6)</f>
        <v>US</v>
      </c>
      <c r="O28" s="1" t="s">
        <v>45</v>
      </c>
      <c r="P28" s="1" t="s">
        <v>22</v>
      </c>
      <c r="Q28" s="5" t="str">
        <f t="shared" si="2"/>
        <v>46082USD</v>
      </c>
      <c r="R28" s="5">
        <f t="shared" si="3"/>
        <v>1</v>
      </c>
      <c r="S28" s="5">
        <f t="shared" si="4"/>
        <v>0</v>
      </c>
    </row>
    <row r="29">
      <c r="A29" s="1" t="s">
        <v>92</v>
      </c>
      <c r="B29" s="4">
        <v>46083.0</v>
      </c>
      <c r="C29" s="2"/>
      <c r="D29" s="1" t="s">
        <v>93</v>
      </c>
      <c r="E29" s="1" t="str">
        <f t="shared" si="1"/>
        <v>Delta Travels</v>
      </c>
      <c r="F29" s="1">
        <v>3100.0</v>
      </c>
      <c r="G29" s="1">
        <f t="array" ref="G29">F29* XLOOKUP(Q29,Sheet2!$D$2:$D$19,Sheet2!$C$2:$C$19,FALSE)</f>
        <v>3100</v>
      </c>
      <c r="H29" s="1" t="s">
        <v>90</v>
      </c>
      <c r="I29" s="1" t="s">
        <v>90</v>
      </c>
      <c r="J29" s="1" t="s">
        <v>25</v>
      </c>
      <c r="K29" s="1" t="str">
        <f>IFERROR(__xludf.DUMMYFUNCTION("""COMPUTED_VALUE"""),"Captured")</f>
        <v>Captured</v>
      </c>
      <c r="L29" s="1" t="s">
        <v>94</v>
      </c>
      <c r="M29" s="1">
        <f>IFERROR(__xludf.DUMMYFUNCTION("""COMPUTED_VALUE"""),41.0)</f>
        <v>41</v>
      </c>
      <c r="N29" s="1" t="str">
        <f t="array" ref="N29">XLOOKUP(E29,Sheet3!$B$2:$B$6,Sheet3!$E$2:$E$6)</f>
        <v>US</v>
      </c>
      <c r="O29" s="1" t="s">
        <v>52</v>
      </c>
      <c r="P29" s="1" t="s">
        <v>22</v>
      </c>
      <c r="Q29" s="5" t="str">
        <f t="shared" si="2"/>
        <v>46083USD</v>
      </c>
      <c r="R29" s="5">
        <f t="shared" si="3"/>
        <v>0</v>
      </c>
      <c r="S29" s="5">
        <f t="shared" si="4"/>
        <v>0</v>
      </c>
    </row>
    <row r="30">
      <c r="A30" s="1" t="s">
        <v>96</v>
      </c>
      <c r="B30" s="4">
        <v>46085.0</v>
      </c>
      <c r="C30" s="2"/>
      <c r="D30" s="1" t="s">
        <v>97</v>
      </c>
      <c r="E30" s="1" t="str">
        <f t="shared" si="1"/>
        <v>Delta Travels</v>
      </c>
      <c r="F30" s="1">
        <v>2500.0</v>
      </c>
      <c r="G30" s="1">
        <f t="array" ref="G30">F30* XLOOKUP(Q30,Sheet2!$D$2:$D$19,Sheet2!$C$2:$C$19,FALSE)</f>
        <v>2500</v>
      </c>
      <c r="H30" s="1" t="s">
        <v>90</v>
      </c>
      <c r="I30" s="1" t="s">
        <v>90</v>
      </c>
      <c r="J30" s="1" t="s">
        <v>41</v>
      </c>
      <c r="K30" s="1" t="str">
        <f>IFERROR(__xludf.DUMMYFUNCTION("""COMPUTED_VALUE"""),"Chargeback")</f>
        <v>Chargeback</v>
      </c>
      <c r="L30" s="1" t="s">
        <v>98</v>
      </c>
      <c r="M30" s="1">
        <f>IFERROR(__xludf.DUMMYFUNCTION("""COMPUTED_VALUE"""),58.0)</f>
        <v>58</v>
      </c>
      <c r="N30" s="1" t="str">
        <f t="array" ref="N30">XLOOKUP(E30,Sheet3!$B$2:$B$6,Sheet3!$E$2:$E$6)</f>
        <v>US</v>
      </c>
      <c r="O30" s="1" t="s">
        <v>55</v>
      </c>
      <c r="P30" s="1" t="s">
        <v>38</v>
      </c>
      <c r="Q30" s="5" t="str">
        <f t="shared" si="2"/>
        <v>46085USD</v>
      </c>
      <c r="R30" s="5">
        <f t="shared" si="3"/>
        <v>0</v>
      </c>
      <c r="S30" s="5">
        <f t="shared" si="4"/>
        <v>1</v>
      </c>
    </row>
    <row r="31">
      <c r="A31" s="1" t="s">
        <v>99</v>
      </c>
      <c r="B31" s="4">
        <v>46087.0</v>
      </c>
      <c r="C31" s="2"/>
      <c r="D31" s="1" t="s">
        <v>89</v>
      </c>
      <c r="E31" s="1" t="str">
        <f t="shared" si="1"/>
        <v>Delta Travels</v>
      </c>
      <c r="F31" s="1">
        <v>1800.0</v>
      </c>
      <c r="G31" s="1">
        <f t="array" ref="G31">F31* XLOOKUP(Q31,Sheet2!$D$2:$D$19,Sheet2!$C$2:$C$19,FALSE)</f>
        <v>1800</v>
      </c>
      <c r="H31" s="1" t="s">
        <v>90</v>
      </c>
      <c r="I31" s="1" t="s">
        <v>90</v>
      </c>
      <c r="J31" s="1" t="s">
        <v>67</v>
      </c>
      <c r="K31" s="1" t="str">
        <f>IFERROR(__xludf.DUMMYFUNCTION("""COMPUTED_VALUE"""),"Failed")</f>
        <v>Failed</v>
      </c>
      <c r="L31" s="1" t="s">
        <v>100</v>
      </c>
      <c r="M31" s="1">
        <f>IFERROR(__xludf.DUMMYFUNCTION("""COMPUTED_VALUE"""),47.0)</f>
        <v>47</v>
      </c>
      <c r="N31" s="1" t="str">
        <f t="array" ref="N31">XLOOKUP(E31,Sheet3!$B$2:$B$6,Sheet3!$E$2:$E$6)</f>
        <v>US</v>
      </c>
      <c r="O31" s="1" t="s">
        <v>58</v>
      </c>
      <c r="P31" s="1" t="s">
        <v>17</v>
      </c>
      <c r="Q31" s="5" t="str">
        <f t="shared" si="2"/>
        <v>46087USD</v>
      </c>
      <c r="R31" s="5">
        <f t="shared" si="3"/>
        <v>0</v>
      </c>
      <c r="S31" s="5">
        <f t="shared" si="4"/>
        <v>0</v>
      </c>
    </row>
    <row r="32">
      <c r="B32" s="6"/>
      <c r="K32" s="5"/>
      <c r="M32" s="5"/>
    </row>
    <row r="33">
      <c r="B33" s="6"/>
      <c r="K33" s="5"/>
      <c r="M33" s="5"/>
    </row>
    <row r="34">
      <c r="B34" s="6"/>
      <c r="K34" s="5"/>
      <c r="M34" s="5"/>
    </row>
    <row r="35">
      <c r="B35" s="6"/>
      <c r="K35" s="5"/>
      <c r="M35" s="5"/>
    </row>
    <row r="36">
      <c r="B36" s="6"/>
      <c r="K36" s="5"/>
      <c r="M36" s="5"/>
    </row>
    <row r="37">
      <c r="B37" s="6"/>
      <c r="K37" s="5"/>
      <c r="M37" s="5"/>
    </row>
    <row r="38">
      <c r="B38" s="6"/>
      <c r="K38" s="5"/>
      <c r="M38" s="5"/>
    </row>
    <row r="39">
      <c r="B39" s="6"/>
      <c r="K39" s="5"/>
      <c r="M39" s="5"/>
    </row>
    <row r="40">
      <c r="B40" s="6"/>
      <c r="K40" s="5"/>
      <c r="M40" s="5"/>
    </row>
    <row r="41">
      <c r="B41" s="6"/>
      <c r="K41" s="5"/>
      <c r="M41" s="5"/>
    </row>
    <row r="42">
      <c r="B42" s="6"/>
      <c r="K42" s="5"/>
      <c r="M42" s="5"/>
    </row>
    <row r="43">
      <c r="B43" s="6"/>
      <c r="K43" s="5"/>
      <c r="M43" s="5"/>
    </row>
    <row r="44">
      <c r="B44" s="6"/>
      <c r="K44" s="5"/>
      <c r="M44" s="5"/>
    </row>
    <row r="45">
      <c r="B45" s="6"/>
      <c r="K45" s="5"/>
      <c r="M45" s="5"/>
    </row>
    <row r="46">
      <c r="B46" s="6"/>
      <c r="K46" s="5"/>
      <c r="M46" s="5"/>
    </row>
    <row r="47">
      <c r="B47" s="6"/>
      <c r="K47" s="5"/>
      <c r="M47" s="5"/>
    </row>
    <row r="48">
      <c r="B48" s="6"/>
      <c r="K48" s="5"/>
      <c r="M48" s="5"/>
    </row>
    <row r="49">
      <c r="B49" s="6"/>
      <c r="K49" s="5"/>
      <c r="M49" s="5"/>
    </row>
    <row r="50">
      <c r="B50" s="6"/>
      <c r="K50" s="5"/>
      <c r="M50" s="5"/>
    </row>
    <row r="51">
      <c r="B51" s="6"/>
      <c r="K51" s="5"/>
      <c r="M51" s="5"/>
    </row>
    <row r="52">
      <c r="B52" s="6"/>
      <c r="K52" s="5"/>
      <c r="M52" s="5"/>
    </row>
    <row r="53">
      <c r="B53" s="6"/>
      <c r="K53" s="5"/>
      <c r="M53" s="5"/>
    </row>
    <row r="54">
      <c r="B54" s="6"/>
      <c r="K54" s="5"/>
      <c r="M54" s="5"/>
    </row>
    <row r="55">
      <c r="B55" s="6"/>
      <c r="K55" s="5"/>
      <c r="M55" s="5"/>
    </row>
    <row r="56">
      <c r="B56" s="6"/>
      <c r="K56" s="5"/>
      <c r="M56" s="5"/>
    </row>
    <row r="57">
      <c r="B57" s="6"/>
      <c r="K57" s="5"/>
      <c r="M57" s="5"/>
    </row>
    <row r="58">
      <c r="B58" s="6"/>
      <c r="K58" s="5"/>
      <c r="M58" s="5"/>
    </row>
    <row r="59">
      <c r="B59" s="6"/>
      <c r="K59" s="5"/>
      <c r="M59" s="5"/>
    </row>
    <row r="60">
      <c r="B60" s="6"/>
      <c r="K60" s="5"/>
      <c r="M60" s="5"/>
    </row>
    <row r="61">
      <c r="B61" s="6"/>
      <c r="K61" s="5"/>
      <c r="M61" s="5"/>
    </row>
    <row r="62">
      <c r="B62" s="6"/>
      <c r="K62" s="5"/>
      <c r="M62" s="5"/>
    </row>
    <row r="63">
      <c r="B63" s="6"/>
      <c r="K63" s="5"/>
      <c r="M63" s="5"/>
    </row>
    <row r="64">
      <c r="B64" s="6"/>
      <c r="K64" s="5"/>
      <c r="M64" s="5"/>
    </row>
    <row r="65">
      <c r="B65" s="6"/>
      <c r="K65" s="5"/>
      <c r="M65" s="5"/>
    </row>
    <row r="66">
      <c r="B66" s="6"/>
      <c r="K66" s="5"/>
      <c r="M66" s="5"/>
    </row>
    <row r="67">
      <c r="B67" s="6"/>
      <c r="K67" s="5"/>
      <c r="M67" s="5"/>
    </row>
    <row r="68">
      <c r="B68" s="6"/>
      <c r="K68" s="5"/>
      <c r="M68" s="5"/>
    </row>
    <row r="69">
      <c r="B69" s="6"/>
      <c r="K69" s="5"/>
      <c r="M69" s="5"/>
    </row>
    <row r="70">
      <c r="B70" s="6"/>
      <c r="K70" s="5"/>
      <c r="M70" s="5"/>
    </row>
    <row r="71">
      <c r="B71" s="6"/>
      <c r="K71" s="5"/>
      <c r="M71" s="5"/>
    </row>
    <row r="72">
      <c r="B72" s="6"/>
      <c r="K72" s="5"/>
      <c r="M72" s="5"/>
    </row>
    <row r="73">
      <c r="B73" s="6"/>
      <c r="K73" s="5"/>
      <c r="M73" s="5"/>
    </row>
    <row r="74">
      <c r="B74" s="6"/>
      <c r="K74" s="5"/>
      <c r="M74" s="5"/>
    </row>
    <row r="75">
      <c r="B75" s="6"/>
      <c r="K75" s="5"/>
      <c r="M75" s="5"/>
    </row>
    <row r="76">
      <c r="B76" s="6"/>
      <c r="K76" s="5"/>
      <c r="M76" s="5"/>
    </row>
    <row r="77">
      <c r="B77" s="6"/>
      <c r="K77" s="5"/>
      <c r="M77" s="5"/>
    </row>
    <row r="78">
      <c r="B78" s="6"/>
      <c r="K78" s="5"/>
      <c r="M78" s="5"/>
    </row>
    <row r="79">
      <c r="B79" s="6"/>
      <c r="K79" s="5"/>
      <c r="M79" s="5"/>
    </row>
    <row r="80">
      <c r="B80" s="6"/>
      <c r="K80" s="5"/>
      <c r="M80" s="5"/>
    </row>
    <row r="81">
      <c r="B81" s="6"/>
      <c r="K81" s="5"/>
      <c r="M81" s="5"/>
    </row>
    <row r="82">
      <c r="B82" s="6"/>
      <c r="K82" s="5"/>
      <c r="M82" s="5"/>
    </row>
    <row r="83">
      <c r="B83" s="6"/>
      <c r="K83" s="5"/>
      <c r="M83" s="5"/>
    </row>
    <row r="84">
      <c r="B84" s="6"/>
      <c r="K84" s="5"/>
      <c r="M84" s="5"/>
    </row>
    <row r="85">
      <c r="B85" s="6"/>
      <c r="K85" s="5"/>
      <c r="M85" s="5"/>
    </row>
    <row r="86">
      <c r="B86" s="6"/>
      <c r="K86" s="5"/>
      <c r="M86" s="5"/>
    </row>
    <row r="87">
      <c r="B87" s="6"/>
      <c r="K87" s="5"/>
      <c r="M87" s="5"/>
    </row>
    <row r="88">
      <c r="B88" s="6"/>
      <c r="K88" s="5"/>
      <c r="M88" s="5"/>
    </row>
    <row r="89">
      <c r="B89" s="6"/>
      <c r="K89" s="5"/>
      <c r="M89" s="5"/>
    </row>
    <row r="90">
      <c r="B90" s="6"/>
      <c r="K90" s="5"/>
      <c r="M90" s="5"/>
    </row>
    <row r="91">
      <c r="B91" s="6"/>
      <c r="K91" s="5"/>
      <c r="M91" s="5"/>
    </row>
    <row r="92">
      <c r="B92" s="6"/>
      <c r="K92" s="5"/>
      <c r="M92" s="5"/>
    </row>
    <row r="93">
      <c r="B93" s="6"/>
      <c r="K93" s="5"/>
      <c r="M93" s="5"/>
    </row>
    <row r="94">
      <c r="B94" s="6"/>
      <c r="K94" s="5"/>
      <c r="M94" s="5"/>
    </row>
    <row r="95">
      <c r="B95" s="6"/>
      <c r="K95" s="5"/>
      <c r="M95" s="5"/>
    </row>
    <row r="96">
      <c r="B96" s="6"/>
      <c r="K96" s="5"/>
      <c r="M96" s="5"/>
    </row>
    <row r="97">
      <c r="B97" s="6"/>
      <c r="K97" s="5"/>
      <c r="M97" s="5"/>
    </row>
    <row r="98">
      <c r="B98" s="6"/>
      <c r="K98" s="5"/>
      <c r="M98" s="5"/>
    </row>
    <row r="99">
      <c r="B99" s="6"/>
      <c r="K99" s="5"/>
      <c r="M99" s="5"/>
    </row>
    <row r="100">
      <c r="B100" s="6"/>
      <c r="K100" s="5"/>
      <c r="M100" s="5"/>
    </row>
    <row r="101">
      <c r="B101" s="6"/>
      <c r="K101" s="5"/>
      <c r="M101" s="5"/>
    </row>
    <row r="102">
      <c r="B102" s="6"/>
      <c r="K102" s="5"/>
      <c r="M102" s="5"/>
    </row>
    <row r="103">
      <c r="B103" s="6"/>
      <c r="K103" s="5"/>
      <c r="M103" s="5"/>
    </row>
    <row r="104">
      <c r="B104" s="6"/>
      <c r="K104" s="5"/>
      <c r="M104" s="5"/>
    </row>
    <row r="105">
      <c r="B105" s="6"/>
      <c r="K105" s="5"/>
      <c r="M105" s="5"/>
    </row>
    <row r="106">
      <c r="B106" s="6"/>
      <c r="K106" s="5"/>
      <c r="M106" s="5"/>
    </row>
    <row r="107">
      <c r="B107" s="6"/>
      <c r="K107" s="5"/>
      <c r="M107" s="5"/>
    </row>
    <row r="108">
      <c r="B108" s="6"/>
      <c r="K108" s="5"/>
      <c r="M108" s="5"/>
    </row>
    <row r="109">
      <c r="B109" s="6"/>
      <c r="K109" s="5"/>
      <c r="M109" s="5"/>
    </row>
    <row r="110">
      <c r="B110" s="6"/>
      <c r="K110" s="5"/>
      <c r="M110" s="5"/>
    </row>
    <row r="111">
      <c r="B111" s="6"/>
      <c r="K111" s="5"/>
      <c r="M111" s="5"/>
    </row>
    <row r="112">
      <c r="B112" s="6"/>
      <c r="K112" s="5"/>
      <c r="M112" s="5"/>
    </row>
    <row r="113">
      <c r="B113" s="6"/>
      <c r="K113" s="5"/>
      <c r="M113" s="5"/>
    </row>
    <row r="114">
      <c r="B114" s="6"/>
      <c r="K114" s="5"/>
      <c r="M114" s="5"/>
    </row>
    <row r="115">
      <c r="B115" s="6"/>
      <c r="K115" s="5"/>
      <c r="M115" s="5"/>
    </row>
    <row r="116">
      <c r="B116" s="6"/>
      <c r="K116" s="5"/>
      <c r="M116" s="5"/>
    </row>
    <row r="117">
      <c r="B117" s="6"/>
      <c r="K117" s="5"/>
      <c r="M117" s="5"/>
    </row>
    <row r="118">
      <c r="B118" s="6"/>
      <c r="K118" s="5"/>
      <c r="M118" s="5"/>
    </row>
    <row r="119">
      <c r="B119" s="6"/>
      <c r="K119" s="5"/>
      <c r="M119" s="5"/>
    </row>
    <row r="120">
      <c r="B120" s="6"/>
      <c r="K120" s="5"/>
      <c r="M120" s="5"/>
    </row>
    <row r="121">
      <c r="B121" s="6"/>
      <c r="K121" s="5"/>
      <c r="M121" s="5"/>
    </row>
    <row r="122">
      <c r="B122" s="6"/>
      <c r="K122" s="5"/>
      <c r="M122" s="5"/>
    </row>
    <row r="123">
      <c r="B123" s="6"/>
      <c r="K123" s="5"/>
      <c r="M123" s="5"/>
    </row>
    <row r="124">
      <c r="B124" s="6"/>
      <c r="K124" s="5"/>
      <c r="M124" s="5"/>
    </row>
    <row r="125">
      <c r="B125" s="6"/>
      <c r="K125" s="5"/>
      <c r="M125" s="5"/>
    </row>
    <row r="126">
      <c r="B126" s="6"/>
      <c r="K126" s="5"/>
      <c r="M126" s="5"/>
    </row>
    <row r="127">
      <c r="B127" s="6"/>
      <c r="K127" s="5"/>
      <c r="M127" s="5"/>
    </row>
    <row r="128">
      <c r="B128" s="6"/>
      <c r="K128" s="5"/>
      <c r="M128" s="5"/>
    </row>
    <row r="129">
      <c r="B129" s="6"/>
      <c r="K129" s="5"/>
      <c r="M129" s="5"/>
    </row>
    <row r="130">
      <c r="B130" s="6"/>
      <c r="K130" s="5"/>
      <c r="M130" s="5"/>
    </row>
    <row r="131">
      <c r="B131" s="6"/>
      <c r="K131" s="5"/>
      <c r="M131" s="5"/>
    </row>
    <row r="132">
      <c r="B132" s="6"/>
      <c r="K132" s="5"/>
      <c r="M132" s="5"/>
    </row>
    <row r="133">
      <c r="B133" s="6"/>
      <c r="K133" s="5"/>
      <c r="M133" s="5"/>
    </row>
    <row r="134">
      <c r="B134" s="6"/>
      <c r="K134" s="5"/>
      <c r="M134" s="5"/>
    </row>
    <row r="135">
      <c r="B135" s="6"/>
      <c r="K135" s="5"/>
      <c r="M135" s="5"/>
    </row>
    <row r="136">
      <c r="B136" s="6"/>
      <c r="K136" s="5"/>
      <c r="M136" s="5"/>
    </row>
    <row r="137">
      <c r="B137" s="6"/>
      <c r="K137" s="5"/>
      <c r="M137" s="5"/>
    </row>
    <row r="138">
      <c r="B138" s="6"/>
      <c r="K138" s="5"/>
      <c r="M138" s="5"/>
    </row>
    <row r="139">
      <c r="B139" s="6"/>
      <c r="K139" s="5"/>
      <c r="M139" s="5"/>
    </row>
    <row r="140">
      <c r="B140" s="6"/>
      <c r="K140" s="5"/>
      <c r="M140" s="5"/>
    </row>
    <row r="141">
      <c r="B141" s="6"/>
      <c r="K141" s="5"/>
      <c r="M141" s="5"/>
    </row>
    <row r="142">
      <c r="B142" s="6"/>
      <c r="K142" s="5"/>
      <c r="M142" s="5"/>
    </row>
    <row r="143">
      <c r="B143" s="6"/>
      <c r="K143" s="5"/>
      <c r="M143" s="5"/>
    </row>
    <row r="144">
      <c r="B144" s="6"/>
      <c r="K144" s="5"/>
      <c r="M144" s="5"/>
    </row>
    <row r="145">
      <c r="B145" s="6"/>
      <c r="K145" s="5"/>
      <c r="M145" s="5"/>
    </row>
    <row r="146">
      <c r="B146" s="6"/>
      <c r="K146" s="5"/>
      <c r="M146" s="5"/>
    </row>
    <row r="147">
      <c r="B147" s="6"/>
      <c r="K147" s="5"/>
      <c r="M147" s="5"/>
    </row>
    <row r="148">
      <c r="B148" s="6"/>
      <c r="K148" s="5"/>
      <c r="M148" s="5"/>
    </row>
    <row r="149">
      <c r="B149" s="6"/>
      <c r="K149" s="5"/>
      <c r="M149" s="5"/>
    </row>
    <row r="150">
      <c r="B150" s="6"/>
      <c r="K150" s="5"/>
      <c r="M150" s="5"/>
    </row>
    <row r="151">
      <c r="B151" s="6"/>
      <c r="K151" s="5"/>
      <c r="M151" s="5"/>
    </row>
    <row r="152">
      <c r="B152" s="6"/>
      <c r="K152" s="5"/>
      <c r="M152" s="5"/>
    </row>
    <row r="153">
      <c r="B153" s="6"/>
      <c r="K153" s="5"/>
      <c r="M153" s="5"/>
    </row>
    <row r="154">
      <c r="B154" s="6"/>
      <c r="K154" s="5"/>
      <c r="M154" s="5"/>
    </row>
    <row r="155">
      <c r="B155" s="6"/>
      <c r="K155" s="5"/>
      <c r="M155" s="5"/>
    </row>
    <row r="156">
      <c r="B156" s="6"/>
      <c r="K156" s="5"/>
      <c r="M156" s="5"/>
    </row>
    <row r="157">
      <c r="B157" s="6"/>
      <c r="K157" s="5"/>
      <c r="M157" s="5"/>
    </row>
    <row r="158">
      <c r="B158" s="6"/>
      <c r="K158" s="5"/>
      <c r="M158" s="5"/>
    </row>
    <row r="159">
      <c r="B159" s="6"/>
      <c r="K159" s="5"/>
      <c r="M159" s="5"/>
    </row>
    <row r="160">
      <c r="B160" s="6"/>
      <c r="K160" s="5"/>
      <c r="M160" s="5"/>
    </row>
    <row r="161">
      <c r="B161" s="6"/>
      <c r="K161" s="5"/>
      <c r="M161" s="5"/>
    </row>
    <row r="162">
      <c r="B162" s="6"/>
      <c r="K162" s="5"/>
      <c r="M162" s="5"/>
    </row>
    <row r="163">
      <c r="B163" s="6"/>
      <c r="K163" s="5"/>
      <c r="M163" s="5"/>
    </row>
    <row r="164">
      <c r="B164" s="6"/>
      <c r="K164" s="5"/>
      <c r="M164" s="5"/>
    </row>
    <row r="165">
      <c r="B165" s="6"/>
      <c r="K165" s="5"/>
      <c r="M165" s="5"/>
    </row>
    <row r="166">
      <c r="B166" s="6"/>
      <c r="K166" s="5"/>
      <c r="M166" s="5"/>
    </row>
    <row r="167">
      <c r="B167" s="6"/>
      <c r="K167" s="5"/>
      <c r="M167" s="5"/>
    </row>
    <row r="168">
      <c r="B168" s="6"/>
      <c r="K168" s="5"/>
      <c r="M168" s="5"/>
    </row>
    <row r="169">
      <c r="B169" s="6"/>
      <c r="K169" s="5"/>
      <c r="M169" s="5"/>
    </row>
    <row r="170">
      <c r="B170" s="6"/>
      <c r="K170" s="5"/>
      <c r="M170" s="5"/>
    </row>
    <row r="171">
      <c r="B171" s="6"/>
      <c r="K171" s="5"/>
      <c r="M171" s="5"/>
    </row>
    <row r="172">
      <c r="B172" s="6"/>
      <c r="K172" s="5"/>
      <c r="M172" s="5"/>
    </row>
    <row r="173">
      <c r="B173" s="6"/>
      <c r="K173" s="5"/>
      <c r="M173" s="5"/>
    </row>
    <row r="174">
      <c r="B174" s="6"/>
      <c r="K174" s="5"/>
      <c r="M174" s="5"/>
    </row>
    <row r="175">
      <c r="B175" s="6"/>
      <c r="K175" s="5"/>
      <c r="M175" s="5"/>
    </row>
    <row r="176">
      <c r="B176" s="6"/>
      <c r="K176" s="5"/>
      <c r="M176" s="5"/>
    </row>
    <row r="177">
      <c r="B177" s="6"/>
      <c r="K177" s="5"/>
      <c r="M177" s="5"/>
    </row>
    <row r="178">
      <c r="B178" s="6"/>
      <c r="K178" s="5"/>
      <c r="M178" s="5"/>
    </row>
    <row r="179">
      <c r="B179" s="6"/>
      <c r="K179" s="5"/>
      <c r="M179" s="5"/>
    </row>
    <row r="180">
      <c r="B180" s="6"/>
      <c r="K180" s="5"/>
      <c r="M180" s="5"/>
    </row>
    <row r="181">
      <c r="B181" s="6"/>
      <c r="K181" s="5"/>
      <c r="M181" s="5"/>
    </row>
    <row r="182">
      <c r="B182" s="6"/>
      <c r="K182" s="5"/>
      <c r="M182" s="5"/>
    </row>
    <row r="183">
      <c r="B183" s="6"/>
      <c r="K183" s="5"/>
      <c r="M183" s="5"/>
    </row>
    <row r="184">
      <c r="B184" s="6"/>
      <c r="K184" s="5"/>
      <c r="M184" s="5"/>
    </row>
    <row r="185">
      <c r="B185" s="6"/>
      <c r="K185" s="5"/>
      <c r="M185" s="5"/>
    </row>
    <row r="186">
      <c r="B186" s="6"/>
      <c r="K186" s="5"/>
      <c r="M186" s="5"/>
    </row>
    <row r="187">
      <c r="B187" s="6"/>
      <c r="K187" s="5"/>
      <c r="M187" s="5"/>
    </row>
    <row r="188">
      <c r="B188" s="6"/>
      <c r="K188" s="5"/>
      <c r="M188" s="5"/>
    </row>
    <row r="189">
      <c r="B189" s="6"/>
      <c r="K189" s="5"/>
      <c r="M189" s="5"/>
    </row>
    <row r="190">
      <c r="B190" s="6"/>
      <c r="K190" s="5"/>
      <c r="M190" s="5"/>
    </row>
    <row r="191">
      <c r="B191" s="6"/>
      <c r="K191" s="5"/>
      <c r="M191" s="5"/>
    </row>
    <row r="192">
      <c r="B192" s="6"/>
      <c r="K192" s="5"/>
      <c r="M192" s="5"/>
    </row>
    <row r="193">
      <c r="B193" s="6"/>
      <c r="K193" s="5"/>
      <c r="M193" s="5"/>
    </row>
    <row r="194">
      <c r="B194" s="6"/>
      <c r="K194" s="5"/>
      <c r="M194" s="5"/>
    </row>
    <row r="195">
      <c r="B195" s="6"/>
      <c r="K195" s="5"/>
      <c r="M195" s="5"/>
    </row>
    <row r="196">
      <c r="B196" s="6"/>
      <c r="K196" s="5"/>
      <c r="M196" s="5"/>
    </row>
    <row r="197">
      <c r="B197" s="6"/>
      <c r="K197" s="5"/>
      <c r="M197" s="5"/>
    </row>
    <row r="198">
      <c r="B198" s="6"/>
      <c r="K198" s="5"/>
      <c r="M198" s="5"/>
    </row>
    <row r="199">
      <c r="B199" s="6"/>
      <c r="K199" s="5"/>
      <c r="M199" s="5"/>
    </row>
    <row r="200">
      <c r="B200" s="6"/>
      <c r="K200" s="5"/>
      <c r="M200" s="5"/>
    </row>
    <row r="201">
      <c r="B201" s="6"/>
      <c r="K201" s="5"/>
      <c r="M201" s="5"/>
    </row>
    <row r="202">
      <c r="B202" s="6"/>
      <c r="K202" s="5"/>
      <c r="M202" s="5"/>
    </row>
    <row r="203">
      <c r="B203" s="6"/>
      <c r="K203" s="5"/>
      <c r="M203" s="5"/>
    </row>
    <row r="204">
      <c r="B204" s="6"/>
      <c r="K204" s="5"/>
      <c r="M204" s="5"/>
    </row>
    <row r="205">
      <c r="B205" s="6"/>
      <c r="K205" s="5"/>
      <c r="M205" s="5"/>
    </row>
    <row r="206">
      <c r="B206" s="6"/>
      <c r="K206" s="5"/>
      <c r="M206" s="5"/>
    </row>
    <row r="207">
      <c r="B207" s="6"/>
      <c r="K207" s="5"/>
      <c r="M207" s="5"/>
    </row>
    <row r="208">
      <c r="B208" s="6"/>
      <c r="K208" s="5"/>
      <c r="M208" s="5"/>
    </row>
    <row r="209">
      <c r="B209" s="6"/>
      <c r="K209" s="5"/>
      <c r="M209" s="5"/>
    </row>
    <row r="210">
      <c r="B210" s="6"/>
      <c r="K210" s="5"/>
      <c r="M210" s="5"/>
    </row>
    <row r="211">
      <c r="B211" s="6"/>
      <c r="K211" s="5"/>
      <c r="M211" s="5"/>
    </row>
    <row r="212">
      <c r="B212" s="6"/>
      <c r="K212" s="5"/>
      <c r="M212" s="5"/>
    </row>
    <row r="213">
      <c r="B213" s="6"/>
      <c r="K213" s="5"/>
      <c r="M213" s="5"/>
    </row>
    <row r="214">
      <c r="B214" s="6"/>
      <c r="K214" s="5"/>
      <c r="M214" s="5"/>
    </row>
    <row r="215">
      <c r="B215" s="6"/>
      <c r="K215" s="5"/>
      <c r="M215" s="5"/>
    </row>
    <row r="216">
      <c r="B216" s="6"/>
      <c r="K216" s="5"/>
      <c r="M216" s="5"/>
    </row>
    <row r="217">
      <c r="B217" s="6"/>
      <c r="K217" s="5"/>
      <c r="M217" s="5"/>
    </row>
    <row r="218">
      <c r="B218" s="6"/>
      <c r="K218" s="5"/>
      <c r="M218" s="5"/>
    </row>
    <row r="219">
      <c r="B219" s="6"/>
      <c r="K219" s="5"/>
      <c r="M219" s="5"/>
    </row>
    <row r="220">
      <c r="B220" s="6"/>
      <c r="K220" s="5"/>
      <c r="M220" s="5"/>
    </row>
    <row r="221">
      <c r="B221" s="6"/>
      <c r="K221" s="5"/>
      <c r="M221" s="5"/>
    </row>
    <row r="222">
      <c r="B222" s="6"/>
      <c r="K222" s="5"/>
      <c r="M222" s="5"/>
    </row>
    <row r="223">
      <c r="B223" s="6"/>
      <c r="K223" s="5"/>
      <c r="M223" s="5"/>
    </row>
    <row r="224">
      <c r="B224" s="6"/>
      <c r="K224" s="5"/>
      <c r="M224" s="5"/>
    </row>
    <row r="225">
      <c r="B225" s="6"/>
      <c r="K225" s="5"/>
      <c r="M225" s="5"/>
    </row>
    <row r="226">
      <c r="B226" s="6"/>
      <c r="K226" s="5"/>
      <c r="M226" s="5"/>
    </row>
    <row r="227">
      <c r="B227" s="6"/>
      <c r="K227" s="5"/>
      <c r="M227" s="5"/>
    </row>
    <row r="228">
      <c r="B228" s="6"/>
      <c r="K228" s="5"/>
      <c r="M228" s="5"/>
    </row>
    <row r="229">
      <c r="B229" s="6"/>
      <c r="K229" s="5"/>
      <c r="M229" s="5"/>
    </row>
    <row r="230">
      <c r="B230" s="6"/>
      <c r="K230" s="5"/>
      <c r="M230" s="5"/>
    </row>
    <row r="231">
      <c r="B231" s="6"/>
      <c r="K231" s="5"/>
      <c r="M231" s="5"/>
    </row>
    <row r="232">
      <c r="B232" s="6"/>
      <c r="K232" s="5"/>
      <c r="M232" s="5"/>
    </row>
    <row r="233">
      <c r="B233" s="6"/>
      <c r="K233" s="5"/>
      <c r="M233" s="5"/>
    </row>
    <row r="234">
      <c r="B234" s="6"/>
      <c r="K234" s="5"/>
      <c r="M234" s="5"/>
    </row>
    <row r="235">
      <c r="B235" s="6"/>
      <c r="K235" s="5"/>
      <c r="M235" s="5"/>
    </row>
    <row r="236">
      <c r="B236" s="6"/>
      <c r="K236" s="5"/>
      <c r="M236" s="5"/>
    </row>
    <row r="237">
      <c r="B237" s="6"/>
      <c r="K237" s="5"/>
      <c r="M237" s="5"/>
    </row>
    <row r="238">
      <c r="B238" s="6"/>
      <c r="K238" s="5"/>
      <c r="M238" s="5"/>
    </row>
    <row r="239">
      <c r="B239" s="6"/>
      <c r="K239" s="5"/>
      <c r="M239" s="5"/>
    </row>
    <row r="240">
      <c r="B240" s="6"/>
      <c r="K240" s="5"/>
      <c r="M240" s="5"/>
    </row>
    <row r="241">
      <c r="B241" s="6"/>
      <c r="K241" s="5"/>
      <c r="M241" s="5"/>
    </row>
    <row r="242">
      <c r="B242" s="6"/>
      <c r="K242" s="5"/>
      <c r="M242" s="5"/>
    </row>
    <row r="243">
      <c r="B243" s="6"/>
      <c r="K243" s="5"/>
      <c r="M243" s="5"/>
    </row>
    <row r="244">
      <c r="B244" s="6"/>
      <c r="K244" s="5"/>
      <c r="M244" s="5"/>
    </row>
    <row r="245">
      <c r="B245" s="6"/>
      <c r="K245" s="5"/>
      <c r="M245" s="5"/>
    </row>
    <row r="246">
      <c r="B246" s="6"/>
      <c r="K246" s="5"/>
      <c r="M246" s="5"/>
    </row>
    <row r="247">
      <c r="B247" s="6"/>
      <c r="K247" s="5"/>
      <c r="M247" s="5"/>
    </row>
    <row r="248">
      <c r="B248" s="6"/>
      <c r="K248" s="5"/>
      <c r="M248" s="5"/>
    </row>
    <row r="249">
      <c r="B249" s="6"/>
      <c r="K249" s="5"/>
      <c r="M249" s="5"/>
    </row>
    <row r="250">
      <c r="B250" s="6"/>
      <c r="K250" s="5"/>
      <c r="M250" s="5"/>
    </row>
    <row r="251">
      <c r="B251" s="6"/>
      <c r="K251" s="5"/>
      <c r="M251" s="5"/>
    </row>
    <row r="252">
      <c r="B252" s="6"/>
      <c r="K252" s="5"/>
      <c r="M252" s="5"/>
    </row>
    <row r="253">
      <c r="B253" s="6"/>
      <c r="K253" s="5"/>
      <c r="M253" s="5"/>
    </row>
    <row r="254">
      <c r="B254" s="6"/>
      <c r="K254" s="5"/>
      <c r="M254" s="5"/>
    </row>
    <row r="255">
      <c r="B255" s="6"/>
      <c r="K255" s="5"/>
      <c r="M255" s="5"/>
    </row>
    <row r="256">
      <c r="B256" s="6"/>
      <c r="K256" s="5"/>
      <c r="M256" s="5"/>
    </row>
    <row r="257">
      <c r="B257" s="6"/>
      <c r="K257" s="5"/>
      <c r="M257" s="5"/>
    </row>
    <row r="258">
      <c r="B258" s="6"/>
      <c r="K258" s="5"/>
      <c r="M258" s="5"/>
    </row>
    <row r="259">
      <c r="B259" s="6"/>
      <c r="K259" s="5"/>
      <c r="M259" s="5"/>
    </row>
    <row r="260">
      <c r="B260" s="6"/>
      <c r="K260" s="5"/>
      <c r="M260" s="5"/>
    </row>
    <row r="261">
      <c r="B261" s="6"/>
      <c r="K261" s="5"/>
      <c r="M261" s="5"/>
    </row>
    <row r="262">
      <c r="B262" s="6"/>
      <c r="K262" s="5"/>
      <c r="M262" s="5"/>
    </row>
    <row r="263">
      <c r="B263" s="6"/>
      <c r="K263" s="5"/>
      <c r="M263" s="5"/>
    </row>
    <row r="264">
      <c r="B264" s="6"/>
      <c r="K264" s="5"/>
      <c r="M264" s="5"/>
    </row>
    <row r="265">
      <c r="B265" s="6"/>
      <c r="K265" s="5"/>
      <c r="M265" s="5"/>
    </row>
    <row r="266">
      <c r="B266" s="6"/>
      <c r="K266" s="5"/>
      <c r="M266" s="5"/>
    </row>
    <row r="267">
      <c r="B267" s="6"/>
      <c r="K267" s="5"/>
      <c r="M267" s="5"/>
    </row>
    <row r="268">
      <c r="B268" s="6"/>
      <c r="K268" s="5"/>
      <c r="M268" s="5"/>
    </row>
    <row r="269">
      <c r="B269" s="6"/>
      <c r="K269" s="5"/>
      <c r="M269" s="5"/>
    </row>
    <row r="270">
      <c r="B270" s="6"/>
      <c r="K270" s="5"/>
      <c r="M270" s="5"/>
    </row>
    <row r="271">
      <c r="B271" s="6"/>
      <c r="K271" s="5"/>
      <c r="M271" s="5"/>
    </row>
    <row r="272">
      <c r="B272" s="6"/>
      <c r="K272" s="5"/>
      <c r="M272" s="5"/>
    </row>
    <row r="273">
      <c r="B273" s="6"/>
      <c r="K273" s="5"/>
      <c r="M273" s="5"/>
    </row>
    <row r="274">
      <c r="B274" s="6"/>
      <c r="K274" s="5"/>
      <c r="M274" s="5"/>
    </row>
    <row r="275">
      <c r="B275" s="6"/>
      <c r="K275" s="5"/>
      <c r="M275" s="5"/>
    </row>
    <row r="276">
      <c r="B276" s="6"/>
      <c r="K276" s="5"/>
      <c r="M276" s="5"/>
    </row>
    <row r="277">
      <c r="B277" s="6"/>
      <c r="K277" s="5"/>
      <c r="M277" s="5"/>
    </row>
    <row r="278">
      <c r="B278" s="6"/>
      <c r="K278" s="5"/>
      <c r="M278" s="5"/>
    </row>
    <row r="279">
      <c r="B279" s="6"/>
      <c r="K279" s="5"/>
      <c r="M279" s="5"/>
    </row>
    <row r="280">
      <c r="B280" s="6"/>
      <c r="K280" s="5"/>
      <c r="M280" s="5"/>
    </row>
    <row r="281">
      <c r="B281" s="6"/>
      <c r="K281" s="5"/>
      <c r="M281" s="5"/>
    </row>
    <row r="282">
      <c r="B282" s="6"/>
      <c r="K282" s="5"/>
      <c r="M282" s="5"/>
    </row>
    <row r="283">
      <c r="B283" s="6"/>
      <c r="K283" s="5"/>
      <c r="M283" s="5"/>
    </row>
    <row r="284">
      <c r="B284" s="6"/>
      <c r="K284" s="5"/>
      <c r="M284" s="5"/>
    </row>
    <row r="285">
      <c r="B285" s="6"/>
      <c r="K285" s="5"/>
      <c r="M285" s="5"/>
    </row>
    <row r="286">
      <c r="B286" s="6"/>
      <c r="K286" s="5"/>
      <c r="M286" s="5"/>
    </row>
    <row r="287">
      <c r="B287" s="6"/>
      <c r="K287" s="5"/>
      <c r="M287" s="5"/>
    </row>
    <row r="288">
      <c r="B288" s="6"/>
      <c r="K288" s="5"/>
      <c r="M288" s="5"/>
    </row>
    <row r="289">
      <c r="B289" s="6"/>
      <c r="K289" s="5"/>
      <c r="M289" s="5"/>
    </row>
    <row r="290">
      <c r="B290" s="6"/>
      <c r="K290" s="5"/>
      <c r="M290" s="5"/>
    </row>
    <row r="291">
      <c r="B291" s="6"/>
      <c r="K291" s="5"/>
      <c r="M291" s="5"/>
    </row>
    <row r="292">
      <c r="B292" s="6"/>
      <c r="K292" s="5"/>
      <c r="M292" s="5"/>
    </row>
    <row r="293">
      <c r="B293" s="6"/>
      <c r="K293" s="5"/>
      <c r="M293" s="5"/>
    </row>
    <row r="294">
      <c r="B294" s="6"/>
      <c r="K294" s="5"/>
      <c r="M294" s="5"/>
    </row>
    <row r="295">
      <c r="B295" s="6"/>
      <c r="K295" s="5"/>
      <c r="M295" s="5"/>
    </row>
    <row r="296">
      <c r="B296" s="6"/>
      <c r="K296" s="5"/>
      <c r="M296" s="5"/>
    </row>
    <row r="297">
      <c r="B297" s="6"/>
      <c r="K297" s="5"/>
      <c r="M297" s="5"/>
    </row>
    <row r="298">
      <c r="B298" s="6"/>
      <c r="K298" s="5"/>
      <c r="M298" s="5"/>
    </row>
    <row r="299">
      <c r="B299" s="6"/>
      <c r="K299" s="5"/>
      <c r="M299" s="5"/>
    </row>
    <row r="300">
      <c r="B300" s="6"/>
      <c r="K300" s="5"/>
      <c r="M300" s="5"/>
    </row>
    <row r="301">
      <c r="B301" s="6"/>
      <c r="K301" s="5"/>
      <c r="M301" s="5"/>
    </row>
    <row r="302">
      <c r="B302" s="6"/>
      <c r="K302" s="5"/>
      <c r="M302" s="5"/>
    </row>
    <row r="303">
      <c r="B303" s="6"/>
      <c r="K303" s="5"/>
      <c r="M303" s="5"/>
    </row>
    <row r="304">
      <c r="B304" s="6"/>
      <c r="K304" s="5"/>
      <c r="M304" s="5"/>
    </row>
    <row r="305">
      <c r="B305" s="6"/>
      <c r="K305" s="5"/>
      <c r="M305" s="5"/>
    </row>
    <row r="306">
      <c r="B306" s="6"/>
      <c r="K306" s="5"/>
      <c r="M306" s="5"/>
    </row>
    <row r="307">
      <c r="B307" s="6"/>
      <c r="K307" s="5"/>
      <c r="M307" s="5"/>
    </row>
    <row r="308">
      <c r="B308" s="6"/>
      <c r="K308" s="5"/>
      <c r="M308" s="5"/>
    </row>
    <row r="309">
      <c r="B309" s="6"/>
      <c r="K309" s="5"/>
      <c r="M309" s="5"/>
    </row>
    <row r="310">
      <c r="B310" s="6"/>
      <c r="K310" s="5"/>
      <c r="M310" s="5"/>
    </row>
    <row r="311">
      <c r="B311" s="6"/>
      <c r="K311" s="5"/>
      <c r="M311" s="5"/>
    </row>
    <row r="312">
      <c r="B312" s="6"/>
      <c r="K312" s="5"/>
      <c r="M312" s="5"/>
    </row>
    <row r="313">
      <c r="B313" s="6"/>
      <c r="K313" s="5"/>
      <c r="M313" s="5"/>
    </row>
    <row r="314">
      <c r="B314" s="6"/>
      <c r="K314" s="5"/>
      <c r="M314" s="5"/>
    </row>
    <row r="315">
      <c r="B315" s="6"/>
      <c r="K315" s="5"/>
      <c r="M315" s="5"/>
    </row>
    <row r="316">
      <c r="B316" s="6"/>
      <c r="K316" s="5"/>
      <c r="M316" s="5"/>
    </row>
    <row r="317">
      <c r="B317" s="6"/>
      <c r="K317" s="5"/>
      <c r="M317" s="5"/>
    </row>
    <row r="318">
      <c r="B318" s="6"/>
      <c r="K318" s="5"/>
      <c r="M318" s="5"/>
    </row>
    <row r="319">
      <c r="B319" s="6"/>
      <c r="K319" s="5"/>
      <c r="M319" s="5"/>
    </row>
    <row r="320">
      <c r="B320" s="6"/>
      <c r="K320" s="5"/>
      <c r="M320" s="5"/>
    </row>
    <row r="321">
      <c r="B321" s="6"/>
      <c r="K321" s="5"/>
      <c r="M321" s="5"/>
    </row>
    <row r="322">
      <c r="B322" s="6"/>
      <c r="K322" s="5"/>
      <c r="M322" s="5"/>
    </row>
    <row r="323">
      <c r="B323" s="6"/>
      <c r="K323" s="5"/>
      <c r="M323" s="5"/>
    </row>
    <row r="324">
      <c r="B324" s="6"/>
      <c r="K324" s="5"/>
      <c r="M324" s="5"/>
    </row>
    <row r="325">
      <c r="B325" s="6"/>
      <c r="K325" s="5"/>
      <c r="M325" s="5"/>
    </row>
    <row r="326">
      <c r="B326" s="6"/>
      <c r="K326" s="5"/>
      <c r="M326" s="5"/>
    </row>
    <row r="327">
      <c r="B327" s="6"/>
      <c r="K327" s="5"/>
      <c r="M327" s="5"/>
    </row>
    <row r="328">
      <c r="B328" s="6"/>
      <c r="K328" s="5"/>
      <c r="M328" s="5"/>
    </row>
    <row r="329">
      <c r="B329" s="6"/>
      <c r="K329" s="5"/>
      <c r="M329" s="5"/>
    </row>
    <row r="330">
      <c r="B330" s="6"/>
      <c r="K330" s="5"/>
      <c r="M330" s="5"/>
    </row>
    <row r="331">
      <c r="B331" s="6"/>
      <c r="K331" s="5"/>
      <c r="M331" s="5"/>
    </row>
    <row r="332">
      <c r="B332" s="6"/>
      <c r="K332" s="5"/>
      <c r="M332" s="5"/>
    </row>
    <row r="333">
      <c r="B333" s="6"/>
      <c r="K333" s="5"/>
      <c r="M333" s="5"/>
    </row>
    <row r="334">
      <c r="B334" s="6"/>
      <c r="K334" s="5"/>
      <c r="M334" s="5"/>
    </row>
    <row r="335">
      <c r="B335" s="6"/>
      <c r="K335" s="5"/>
      <c r="M335" s="5"/>
    </row>
    <row r="336">
      <c r="B336" s="6"/>
      <c r="K336" s="5"/>
      <c r="M336" s="5"/>
    </row>
    <row r="337">
      <c r="B337" s="6"/>
      <c r="K337" s="5"/>
      <c r="M337" s="5"/>
    </row>
    <row r="338">
      <c r="B338" s="6"/>
      <c r="K338" s="5"/>
      <c r="M338" s="5"/>
    </row>
    <row r="339">
      <c r="B339" s="6"/>
      <c r="K339" s="5"/>
      <c r="M339" s="5"/>
    </row>
    <row r="340">
      <c r="B340" s="6"/>
      <c r="K340" s="5"/>
      <c r="M340" s="5"/>
    </row>
    <row r="341">
      <c r="B341" s="6"/>
      <c r="K341" s="5"/>
      <c r="M341" s="5"/>
    </row>
    <row r="342">
      <c r="B342" s="6"/>
      <c r="K342" s="5"/>
      <c r="M342" s="5"/>
    </row>
    <row r="343">
      <c r="B343" s="6"/>
      <c r="K343" s="5"/>
      <c r="M343" s="5"/>
    </row>
    <row r="344">
      <c r="B344" s="6"/>
      <c r="K344" s="5"/>
      <c r="M344" s="5"/>
    </row>
    <row r="345">
      <c r="B345" s="6"/>
      <c r="K345" s="5"/>
      <c r="M345" s="5"/>
    </row>
    <row r="346">
      <c r="B346" s="6"/>
      <c r="K346" s="5"/>
      <c r="M346" s="5"/>
    </row>
    <row r="347">
      <c r="B347" s="6"/>
      <c r="K347" s="5"/>
      <c r="M347" s="5"/>
    </row>
    <row r="348">
      <c r="B348" s="6"/>
      <c r="K348" s="5"/>
      <c r="M348" s="5"/>
    </row>
    <row r="349">
      <c r="B349" s="6"/>
      <c r="K349" s="5"/>
      <c r="M349" s="5"/>
    </row>
    <row r="350">
      <c r="B350" s="6"/>
      <c r="K350" s="5"/>
      <c r="M350" s="5"/>
    </row>
    <row r="351">
      <c r="B351" s="6"/>
      <c r="K351" s="5"/>
      <c r="M351" s="5"/>
    </row>
    <row r="352">
      <c r="B352" s="6"/>
      <c r="K352" s="5"/>
      <c r="M352" s="5"/>
    </row>
    <row r="353">
      <c r="B353" s="6"/>
      <c r="K353" s="5"/>
      <c r="M353" s="5"/>
    </row>
    <row r="354">
      <c r="B354" s="6"/>
      <c r="K354" s="5"/>
      <c r="M354" s="5"/>
    </row>
    <row r="355">
      <c r="B355" s="6"/>
      <c r="K355" s="5"/>
      <c r="M355" s="5"/>
    </row>
    <row r="356">
      <c r="B356" s="6"/>
      <c r="K356" s="5"/>
      <c r="M356" s="5"/>
    </row>
    <row r="357">
      <c r="B357" s="6"/>
      <c r="K357" s="5"/>
      <c r="M357" s="5"/>
    </row>
    <row r="358">
      <c r="B358" s="6"/>
      <c r="K358" s="5"/>
      <c r="M358" s="5"/>
    </row>
    <row r="359">
      <c r="B359" s="6"/>
      <c r="K359" s="5"/>
      <c r="M359" s="5"/>
    </row>
    <row r="360">
      <c r="B360" s="6"/>
      <c r="K360" s="5"/>
      <c r="M360" s="5"/>
    </row>
    <row r="361">
      <c r="B361" s="6"/>
      <c r="K361" s="5"/>
      <c r="M361" s="5"/>
    </row>
    <row r="362">
      <c r="B362" s="6"/>
      <c r="K362" s="5"/>
      <c r="M362" s="5"/>
    </row>
    <row r="363">
      <c r="B363" s="6"/>
      <c r="K363" s="5"/>
      <c r="M363" s="5"/>
    </row>
    <row r="364">
      <c r="B364" s="6"/>
      <c r="K364" s="5"/>
      <c r="M364" s="5"/>
    </row>
    <row r="365">
      <c r="B365" s="6"/>
      <c r="K365" s="5"/>
      <c r="M365" s="5"/>
    </row>
    <row r="366">
      <c r="B366" s="6"/>
      <c r="K366" s="5"/>
      <c r="M366" s="5"/>
    </row>
    <row r="367">
      <c r="B367" s="6"/>
      <c r="K367" s="5"/>
      <c r="M367" s="5"/>
    </row>
    <row r="368">
      <c r="B368" s="6"/>
      <c r="K368" s="5"/>
      <c r="M368" s="5"/>
    </row>
    <row r="369">
      <c r="B369" s="6"/>
      <c r="K369" s="5"/>
      <c r="M369" s="5"/>
    </row>
    <row r="370">
      <c r="B370" s="6"/>
      <c r="K370" s="5"/>
      <c r="M370" s="5"/>
    </row>
    <row r="371">
      <c r="B371" s="6"/>
      <c r="K371" s="5"/>
      <c r="M371" s="5"/>
    </row>
    <row r="372">
      <c r="B372" s="6"/>
      <c r="K372" s="5"/>
      <c r="M372" s="5"/>
    </row>
    <row r="373">
      <c r="B373" s="6"/>
      <c r="K373" s="5"/>
      <c r="M373" s="5"/>
    </row>
    <row r="374">
      <c r="B374" s="6"/>
      <c r="K374" s="5"/>
      <c r="M374" s="5"/>
    </row>
    <row r="375">
      <c r="B375" s="6"/>
      <c r="K375" s="5"/>
      <c r="M375" s="5"/>
    </row>
    <row r="376">
      <c r="B376" s="6"/>
      <c r="K376" s="5"/>
      <c r="M376" s="5"/>
    </row>
    <row r="377">
      <c r="B377" s="6"/>
      <c r="K377" s="5"/>
      <c r="M377" s="5"/>
    </row>
    <row r="378">
      <c r="B378" s="6"/>
      <c r="K378" s="5"/>
      <c r="M378" s="5"/>
    </row>
    <row r="379">
      <c r="B379" s="6"/>
      <c r="K379" s="5"/>
      <c r="M379" s="5"/>
    </row>
    <row r="380">
      <c r="B380" s="6"/>
      <c r="K380" s="5"/>
      <c r="M380" s="5"/>
    </row>
    <row r="381">
      <c r="B381" s="6"/>
      <c r="K381" s="5"/>
      <c r="M381" s="5"/>
    </row>
    <row r="382">
      <c r="B382" s="6"/>
      <c r="K382" s="5"/>
      <c r="M382" s="5"/>
    </row>
    <row r="383">
      <c r="B383" s="6"/>
      <c r="K383" s="5"/>
      <c r="M383" s="5"/>
    </row>
    <row r="384">
      <c r="B384" s="6"/>
      <c r="K384" s="5"/>
      <c r="M384" s="5"/>
    </row>
    <row r="385">
      <c r="B385" s="6"/>
      <c r="K385" s="5"/>
      <c r="M385" s="5"/>
    </row>
    <row r="386">
      <c r="B386" s="6"/>
      <c r="K386" s="5"/>
      <c r="M386" s="5"/>
    </row>
    <row r="387">
      <c r="B387" s="6"/>
      <c r="K387" s="5"/>
      <c r="M387" s="5"/>
    </row>
    <row r="388">
      <c r="B388" s="6"/>
      <c r="K388" s="5"/>
      <c r="M388" s="5"/>
    </row>
    <row r="389">
      <c r="B389" s="6"/>
      <c r="K389" s="5"/>
      <c r="M389" s="5"/>
    </row>
    <row r="390">
      <c r="B390" s="6"/>
      <c r="K390" s="5"/>
      <c r="M390" s="5"/>
    </row>
    <row r="391">
      <c r="B391" s="6"/>
      <c r="K391" s="5"/>
      <c r="M391" s="5"/>
    </row>
    <row r="392">
      <c r="B392" s="6"/>
      <c r="K392" s="5"/>
      <c r="M392" s="5"/>
    </row>
    <row r="393">
      <c r="B393" s="6"/>
      <c r="K393" s="5"/>
      <c r="M393" s="5"/>
    </row>
    <row r="394">
      <c r="B394" s="6"/>
      <c r="K394" s="5"/>
      <c r="M394" s="5"/>
    </row>
    <row r="395">
      <c r="B395" s="6"/>
      <c r="K395" s="5"/>
      <c r="M395" s="5"/>
    </row>
    <row r="396">
      <c r="B396" s="6"/>
      <c r="K396" s="5"/>
      <c r="M396" s="5"/>
    </row>
    <row r="397">
      <c r="B397" s="6"/>
      <c r="K397" s="5"/>
      <c r="M397" s="5"/>
    </row>
    <row r="398">
      <c r="B398" s="6"/>
      <c r="K398" s="5"/>
      <c r="M398" s="5"/>
    </row>
    <row r="399">
      <c r="B399" s="6"/>
      <c r="K399" s="5"/>
      <c r="M399" s="5"/>
    </row>
    <row r="400">
      <c r="B400" s="6"/>
      <c r="K400" s="5"/>
      <c r="M400" s="5"/>
    </row>
    <row r="401">
      <c r="B401" s="6"/>
      <c r="K401" s="5"/>
      <c r="M401" s="5"/>
    </row>
    <row r="402">
      <c r="B402" s="6"/>
      <c r="K402" s="5"/>
      <c r="M402" s="5"/>
    </row>
    <row r="403">
      <c r="B403" s="6"/>
      <c r="K403" s="5"/>
      <c r="M403" s="5"/>
    </row>
    <row r="404">
      <c r="B404" s="6"/>
      <c r="K404" s="5"/>
      <c r="M404" s="5"/>
    </row>
    <row r="405">
      <c r="B405" s="6"/>
      <c r="K405" s="5"/>
      <c r="M405" s="5"/>
    </row>
    <row r="406">
      <c r="B406" s="6"/>
      <c r="K406" s="5"/>
      <c r="M406" s="5"/>
    </row>
    <row r="407">
      <c r="B407" s="6"/>
      <c r="K407" s="5"/>
      <c r="M407" s="5"/>
    </row>
    <row r="408">
      <c r="B408" s="6"/>
      <c r="K408" s="5"/>
      <c r="M408" s="5"/>
    </row>
    <row r="409">
      <c r="B409" s="6"/>
      <c r="K409" s="5"/>
      <c r="M409" s="5"/>
    </row>
    <row r="410">
      <c r="B410" s="6"/>
      <c r="K410" s="5"/>
      <c r="M410" s="5"/>
    </row>
    <row r="411">
      <c r="B411" s="6"/>
      <c r="K411" s="5"/>
      <c r="M411" s="5"/>
    </row>
    <row r="412">
      <c r="B412" s="6"/>
      <c r="K412" s="5"/>
      <c r="M412" s="5"/>
    </row>
    <row r="413">
      <c r="B413" s="6"/>
      <c r="K413" s="5"/>
      <c r="M413" s="5"/>
    </row>
    <row r="414">
      <c r="B414" s="6"/>
      <c r="K414" s="5"/>
      <c r="M414" s="5"/>
    </row>
    <row r="415">
      <c r="B415" s="6"/>
      <c r="K415" s="5"/>
      <c r="M415" s="5"/>
    </row>
    <row r="416">
      <c r="B416" s="6"/>
      <c r="K416" s="5"/>
      <c r="M416" s="5"/>
    </row>
    <row r="417">
      <c r="B417" s="6"/>
      <c r="K417" s="5"/>
      <c r="M417" s="5"/>
    </row>
    <row r="418">
      <c r="B418" s="6"/>
      <c r="K418" s="5"/>
      <c r="M418" s="5"/>
    </row>
    <row r="419">
      <c r="B419" s="6"/>
      <c r="K419" s="5"/>
      <c r="M419" s="5"/>
    </row>
    <row r="420">
      <c r="B420" s="6"/>
      <c r="K420" s="5"/>
      <c r="M420" s="5"/>
    </row>
    <row r="421">
      <c r="B421" s="6"/>
      <c r="K421" s="5"/>
      <c r="M421" s="5"/>
    </row>
    <row r="422">
      <c r="B422" s="6"/>
      <c r="K422" s="5"/>
      <c r="M422" s="5"/>
    </row>
    <row r="423">
      <c r="B423" s="6"/>
      <c r="K423" s="5"/>
      <c r="M423" s="5"/>
    </row>
    <row r="424">
      <c r="B424" s="6"/>
      <c r="K424" s="5"/>
      <c r="M424" s="5"/>
    </row>
    <row r="425">
      <c r="B425" s="6"/>
      <c r="K425" s="5"/>
      <c r="M425" s="5"/>
    </row>
    <row r="426">
      <c r="B426" s="6"/>
      <c r="K426" s="5"/>
      <c r="M426" s="5"/>
    </row>
    <row r="427">
      <c r="B427" s="6"/>
      <c r="K427" s="5"/>
      <c r="M427" s="5"/>
    </row>
    <row r="428">
      <c r="B428" s="6"/>
      <c r="K428" s="5"/>
      <c r="M428" s="5"/>
    </row>
    <row r="429">
      <c r="B429" s="6"/>
      <c r="K429" s="5"/>
      <c r="M429" s="5"/>
    </row>
    <row r="430">
      <c r="B430" s="6"/>
      <c r="K430" s="5"/>
      <c r="M430" s="5"/>
    </row>
    <row r="431">
      <c r="B431" s="6"/>
      <c r="K431" s="5"/>
      <c r="M431" s="5"/>
    </row>
    <row r="432">
      <c r="B432" s="6"/>
      <c r="K432" s="5"/>
      <c r="M432" s="5"/>
    </row>
    <row r="433">
      <c r="B433" s="6"/>
      <c r="K433" s="5"/>
      <c r="M433" s="5"/>
    </row>
    <row r="434">
      <c r="B434" s="6"/>
      <c r="K434" s="5"/>
      <c r="M434" s="5"/>
    </row>
    <row r="435">
      <c r="B435" s="6"/>
      <c r="K435" s="5"/>
      <c r="M435" s="5"/>
    </row>
    <row r="436">
      <c r="B436" s="6"/>
      <c r="K436" s="5"/>
      <c r="M436" s="5"/>
    </row>
    <row r="437">
      <c r="B437" s="6"/>
      <c r="K437" s="5"/>
      <c r="M437" s="5"/>
    </row>
    <row r="438">
      <c r="B438" s="6"/>
      <c r="K438" s="5"/>
      <c r="M438" s="5"/>
    </row>
    <row r="439">
      <c r="B439" s="6"/>
      <c r="K439" s="5"/>
      <c r="M439" s="5"/>
    </row>
    <row r="440">
      <c r="B440" s="6"/>
      <c r="K440" s="5"/>
      <c r="M440" s="5"/>
    </row>
    <row r="441">
      <c r="B441" s="6"/>
      <c r="K441" s="5"/>
      <c r="M441" s="5"/>
    </row>
    <row r="442">
      <c r="B442" s="6"/>
      <c r="K442" s="5"/>
      <c r="M442" s="5"/>
    </row>
    <row r="443">
      <c r="B443" s="6"/>
      <c r="K443" s="5"/>
      <c r="M443" s="5"/>
    </row>
    <row r="444">
      <c r="B444" s="6"/>
      <c r="K444" s="5"/>
      <c r="M444" s="5"/>
    </row>
    <row r="445">
      <c r="B445" s="6"/>
      <c r="K445" s="5"/>
      <c r="M445" s="5"/>
    </row>
    <row r="446">
      <c r="B446" s="6"/>
      <c r="K446" s="5"/>
      <c r="M446" s="5"/>
    </row>
    <row r="447">
      <c r="B447" s="6"/>
      <c r="K447" s="5"/>
      <c r="M447" s="5"/>
    </row>
    <row r="448">
      <c r="B448" s="6"/>
      <c r="K448" s="5"/>
      <c r="M448" s="5"/>
    </row>
    <row r="449">
      <c r="B449" s="6"/>
      <c r="K449" s="5"/>
      <c r="M449" s="5"/>
    </row>
    <row r="450">
      <c r="B450" s="6"/>
      <c r="K450" s="5"/>
      <c r="M450" s="5"/>
    </row>
    <row r="451">
      <c r="B451" s="6"/>
      <c r="K451" s="5"/>
      <c r="M451" s="5"/>
    </row>
    <row r="452">
      <c r="B452" s="6"/>
      <c r="K452" s="5"/>
      <c r="M452" s="5"/>
    </row>
    <row r="453">
      <c r="B453" s="6"/>
      <c r="K453" s="5"/>
      <c r="M453" s="5"/>
    </row>
    <row r="454">
      <c r="B454" s="6"/>
      <c r="K454" s="5"/>
      <c r="M454" s="5"/>
    </row>
    <row r="455">
      <c r="B455" s="6"/>
      <c r="K455" s="5"/>
      <c r="M455" s="5"/>
    </row>
    <row r="456">
      <c r="B456" s="6"/>
      <c r="K456" s="5"/>
      <c r="M456" s="5"/>
    </row>
    <row r="457">
      <c r="B457" s="6"/>
      <c r="K457" s="5"/>
      <c r="M457" s="5"/>
    </row>
    <row r="458">
      <c r="B458" s="6"/>
      <c r="K458" s="5"/>
      <c r="M458" s="5"/>
    </row>
    <row r="459">
      <c r="B459" s="6"/>
      <c r="K459" s="5"/>
      <c r="M459" s="5"/>
    </row>
    <row r="460">
      <c r="B460" s="6"/>
      <c r="K460" s="5"/>
      <c r="M460" s="5"/>
    </row>
    <row r="461">
      <c r="B461" s="6"/>
      <c r="K461" s="5"/>
      <c r="M461" s="5"/>
    </row>
    <row r="462">
      <c r="B462" s="6"/>
      <c r="K462" s="5"/>
      <c r="M462" s="5"/>
    </row>
    <row r="463">
      <c r="B463" s="6"/>
      <c r="K463" s="5"/>
      <c r="M463" s="5"/>
    </row>
    <row r="464">
      <c r="B464" s="6"/>
      <c r="K464" s="5"/>
      <c r="M464" s="5"/>
    </row>
    <row r="465">
      <c r="B465" s="6"/>
      <c r="K465" s="5"/>
      <c r="M465" s="5"/>
    </row>
    <row r="466">
      <c r="B466" s="6"/>
      <c r="K466" s="5"/>
      <c r="M466" s="5"/>
    </row>
    <row r="467">
      <c r="B467" s="6"/>
      <c r="K467" s="5"/>
      <c r="M467" s="5"/>
    </row>
    <row r="468">
      <c r="B468" s="6"/>
      <c r="K468" s="5"/>
      <c r="M468" s="5"/>
    </row>
    <row r="469">
      <c r="B469" s="6"/>
      <c r="K469" s="5"/>
      <c r="M469" s="5"/>
    </row>
    <row r="470">
      <c r="B470" s="6"/>
      <c r="K470" s="5"/>
      <c r="M470" s="5"/>
    </row>
    <row r="471">
      <c r="B471" s="6"/>
      <c r="K471" s="5"/>
      <c r="M471" s="5"/>
    </row>
    <row r="472">
      <c r="B472" s="6"/>
      <c r="K472" s="5"/>
      <c r="M472" s="5"/>
    </row>
    <row r="473">
      <c r="B473" s="6"/>
      <c r="K473" s="5"/>
      <c r="M473" s="5"/>
    </row>
    <row r="474">
      <c r="B474" s="6"/>
      <c r="K474" s="5"/>
      <c r="M474" s="5"/>
    </row>
    <row r="475">
      <c r="B475" s="6"/>
      <c r="K475" s="5"/>
      <c r="M475" s="5"/>
    </row>
    <row r="476">
      <c r="B476" s="6"/>
      <c r="K476" s="5"/>
      <c r="M476" s="5"/>
    </row>
    <row r="477">
      <c r="B477" s="6"/>
      <c r="K477" s="5"/>
      <c r="M477" s="5"/>
    </row>
    <row r="478">
      <c r="B478" s="6"/>
      <c r="K478" s="5"/>
      <c r="M478" s="5"/>
    </row>
    <row r="479">
      <c r="B479" s="6"/>
      <c r="K479" s="5"/>
      <c r="M479" s="5"/>
    </row>
    <row r="480">
      <c r="B480" s="6"/>
      <c r="K480" s="5"/>
      <c r="M480" s="5"/>
    </row>
    <row r="481">
      <c r="B481" s="6"/>
      <c r="K481" s="5"/>
      <c r="M481" s="5"/>
    </row>
    <row r="482">
      <c r="B482" s="6"/>
      <c r="K482" s="5"/>
      <c r="M482" s="5"/>
    </row>
    <row r="483">
      <c r="B483" s="6"/>
      <c r="K483" s="5"/>
      <c r="M483" s="5"/>
    </row>
    <row r="484">
      <c r="B484" s="6"/>
      <c r="K484" s="5"/>
      <c r="M484" s="5"/>
    </row>
    <row r="485">
      <c r="B485" s="6"/>
      <c r="K485" s="5"/>
      <c r="M485" s="5"/>
    </row>
    <row r="486">
      <c r="B486" s="6"/>
      <c r="K486" s="5"/>
      <c r="M486" s="5"/>
    </row>
    <row r="487">
      <c r="B487" s="6"/>
      <c r="K487" s="5"/>
      <c r="M487" s="5"/>
    </row>
    <row r="488">
      <c r="B488" s="6"/>
      <c r="K488" s="5"/>
      <c r="M488" s="5"/>
    </row>
    <row r="489">
      <c r="B489" s="6"/>
      <c r="K489" s="5"/>
      <c r="M489" s="5"/>
    </row>
    <row r="490">
      <c r="B490" s="6"/>
      <c r="K490" s="5"/>
      <c r="M490" s="5"/>
    </row>
    <row r="491">
      <c r="B491" s="6"/>
      <c r="K491" s="5"/>
      <c r="M491" s="5"/>
    </row>
    <row r="492">
      <c r="B492" s="6"/>
      <c r="K492" s="5"/>
      <c r="M492" s="5"/>
    </row>
    <row r="493">
      <c r="B493" s="6"/>
      <c r="K493" s="5"/>
      <c r="M493" s="5"/>
    </row>
    <row r="494">
      <c r="B494" s="6"/>
      <c r="K494" s="5"/>
      <c r="M494" s="5"/>
    </row>
    <row r="495">
      <c r="B495" s="6"/>
      <c r="K495" s="5"/>
      <c r="M495" s="5"/>
    </row>
    <row r="496">
      <c r="B496" s="6"/>
      <c r="K496" s="5"/>
      <c r="M496" s="5"/>
    </row>
    <row r="497">
      <c r="B497" s="6"/>
      <c r="K497" s="5"/>
      <c r="M497" s="5"/>
    </row>
    <row r="498">
      <c r="B498" s="6"/>
      <c r="K498" s="5"/>
      <c r="M498" s="5"/>
    </row>
    <row r="499">
      <c r="B499" s="6"/>
      <c r="K499" s="5"/>
      <c r="M499" s="5"/>
    </row>
    <row r="500">
      <c r="B500" s="6"/>
      <c r="K500" s="5"/>
      <c r="M500" s="5"/>
    </row>
    <row r="501">
      <c r="B501" s="6"/>
      <c r="K501" s="5"/>
      <c r="M501" s="5"/>
    </row>
    <row r="502">
      <c r="B502" s="6"/>
      <c r="K502" s="5"/>
      <c r="M502" s="5"/>
    </row>
    <row r="503">
      <c r="B503" s="6"/>
      <c r="K503" s="5"/>
      <c r="M503" s="5"/>
    </row>
    <row r="504">
      <c r="B504" s="6"/>
      <c r="K504" s="5"/>
      <c r="M504" s="5"/>
    </row>
    <row r="505">
      <c r="B505" s="6"/>
      <c r="K505" s="5"/>
      <c r="M505" s="5"/>
    </row>
    <row r="506">
      <c r="B506" s="6"/>
      <c r="K506" s="5"/>
      <c r="M506" s="5"/>
    </row>
    <row r="507">
      <c r="B507" s="6"/>
      <c r="K507" s="5"/>
      <c r="M507" s="5"/>
    </row>
    <row r="508">
      <c r="B508" s="6"/>
      <c r="K508" s="5"/>
      <c r="M508" s="5"/>
    </row>
    <row r="509">
      <c r="B509" s="6"/>
      <c r="K509" s="5"/>
      <c r="M509" s="5"/>
    </row>
    <row r="510">
      <c r="B510" s="6"/>
      <c r="K510" s="5"/>
      <c r="M510" s="5"/>
    </row>
    <row r="511">
      <c r="B511" s="6"/>
      <c r="K511" s="5"/>
      <c r="M511" s="5"/>
    </row>
    <row r="512">
      <c r="B512" s="6"/>
      <c r="K512" s="5"/>
      <c r="M512" s="5"/>
    </row>
    <row r="513">
      <c r="B513" s="6"/>
      <c r="K513" s="5"/>
      <c r="M513" s="5"/>
    </row>
    <row r="514">
      <c r="B514" s="6"/>
      <c r="K514" s="5"/>
      <c r="M514" s="5"/>
    </row>
    <row r="515">
      <c r="B515" s="6"/>
      <c r="K515" s="5"/>
      <c r="M515" s="5"/>
    </row>
    <row r="516">
      <c r="B516" s="6"/>
      <c r="K516" s="5"/>
      <c r="M516" s="5"/>
    </row>
    <row r="517">
      <c r="B517" s="6"/>
      <c r="K517" s="5"/>
      <c r="M517" s="5"/>
    </row>
    <row r="518">
      <c r="B518" s="6"/>
      <c r="K518" s="5"/>
      <c r="M518" s="5"/>
    </row>
    <row r="519">
      <c r="B519" s="6"/>
      <c r="K519" s="5"/>
      <c r="M519" s="5"/>
    </row>
    <row r="520">
      <c r="B520" s="6"/>
      <c r="K520" s="5"/>
      <c r="M520" s="5"/>
    </row>
    <row r="521">
      <c r="B521" s="6"/>
      <c r="K521" s="5"/>
      <c r="M521" s="5"/>
    </row>
    <row r="522">
      <c r="B522" s="6"/>
      <c r="K522" s="5"/>
      <c r="M522" s="5"/>
    </row>
    <row r="523">
      <c r="B523" s="6"/>
      <c r="K523" s="5"/>
      <c r="M523" s="5"/>
    </row>
    <row r="524">
      <c r="B524" s="6"/>
      <c r="K524" s="5"/>
      <c r="M524" s="5"/>
    </row>
    <row r="525">
      <c r="B525" s="6"/>
      <c r="K525" s="5"/>
      <c r="M525" s="5"/>
    </row>
    <row r="526">
      <c r="B526" s="6"/>
      <c r="K526" s="5"/>
      <c r="M526" s="5"/>
    </row>
    <row r="527">
      <c r="B527" s="6"/>
      <c r="K527" s="5"/>
      <c r="M527" s="5"/>
    </row>
    <row r="528">
      <c r="B528" s="6"/>
      <c r="K528" s="5"/>
      <c r="M528" s="5"/>
    </row>
    <row r="529">
      <c r="B529" s="6"/>
      <c r="K529" s="5"/>
      <c r="M529" s="5"/>
    </row>
    <row r="530">
      <c r="B530" s="6"/>
      <c r="K530" s="5"/>
      <c r="M530" s="5"/>
    </row>
    <row r="531">
      <c r="B531" s="6"/>
      <c r="K531" s="5"/>
      <c r="M531" s="5"/>
    </row>
    <row r="532">
      <c r="B532" s="6"/>
      <c r="K532" s="5"/>
      <c r="M532" s="5"/>
    </row>
    <row r="533">
      <c r="B533" s="6"/>
      <c r="K533" s="5"/>
      <c r="M533" s="5"/>
    </row>
    <row r="534">
      <c r="B534" s="6"/>
      <c r="K534" s="5"/>
      <c r="M534" s="5"/>
    </row>
    <row r="535">
      <c r="B535" s="6"/>
      <c r="K535" s="5"/>
      <c r="M535" s="5"/>
    </row>
    <row r="536">
      <c r="B536" s="6"/>
      <c r="K536" s="5"/>
      <c r="M536" s="5"/>
    </row>
    <row r="537">
      <c r="B537" s="6"/>
      <c r="K537" s="5"/>
      <c r="M537" s="5"/>
    </row>
    <row r="538">
      <c r="B538" s="6"/>
      <c r="K538" s="5"/>
      <c r="M538" s="5"/>
    </row>
    <row r="539">
      <c r="B539" s="6"/>
      <c r="K539" s="5"/>
      <c r="M539" s="5"/>
    </row>
    <row r="540">
      <c r="B540" s="6"/>
      <c r="K540" s="5"/>
      <c r="M540" s="5"/>
    </row>
    <row r="541">
      <c r="B541" s="6"/>
      <c r="K541" s="5"/>
      <c r="M541" s="5"/>
    </row>
    <row r="542">
      <c r="B542" s="6"/>
      <c r="K542" s="5"/>
      <c r="M542" s="5"/>
    </row>
    <row r="543">
      <c r="B543" s="6"/>
      <c r="K543" s="5"/>
      <c r="M543" s="5"/>
    </row>
    <row r="544">
      <c r="B544" s="6"/>
      <c r="K544" s="5"/>
      <c r="M544" s="5"/>
    </row>
    <row r="545">
      <c r="B545" s="6"/>
      <c r="K545" s="5"/>
      <c r="M545" s="5"/>
    </row>
    <row r="546">
      <c r="B546" s="6"/>
      <c r="K546" s="5"/>
      <c r="M546" s="5"/>
    </row>
    <row r="547">
      <c r="B547" s="6"/>
      <c r="K547" s="5"/>
      <c r="M547" s="5"/>
    </row>
    <row r="548">
      <c r="B548" s="6"/>
      <c r="K548" s="5"/>
      <c r="M548" s="5"/>
    </row>
    <row r="549">
      <c r="B549" s="6"/>
      <c r="K549" s="5"/>
      <c r="M549" s="5"/>
    </row>
    <row r="550">
      <c r="B550" s="6"/>
      <c r="K550" s="5"/>
      <c r="M550" s="5"/>
    </row>
    <row r="551">
      <c r="B551" s="6"/>
      <c r="K551" s="5"/>
      <c r="M551" s="5"/>
    </row>
    <row r="552">
      <c r="B552" s="6"/>
      <c r="K552" s="5"/>
      <c r="M552" s="5"/>
    </row>
    <row r="553">
      <c r="B553" s="6"/>
      <c r="K553" s="5"/>
      <c r="M553" s="5"/>
    </row>
    <row r="554">
      <c r="B554" s="6"/>
      <c r="K554" s="5"/>
      <c r="M554" s="5"/>
    </row>
    <row r="555">
      <c r="B555" s="6"/>
      <c r="K555" s="5"/>
      <c r="M555" s="5"/>
    </row>
    <row r="556">
      <c r="B556" s="6"/>
      <c r="K556" s="5"/>
      <c r="M556" s="5"/>
    </row>
    <row r="557">
      <c r="B557" s="6"/>
      <c r="K557" s="5"/>
      <c r="M557" s="5"/>
    </row>
    <row r="558">
      <c r="B558" s="6"/>
      <c r="K558" s="5"/>
      <c r="M558" s="5"/>
    </row>
    <row r="559">
      <c r="B559" s="6"/>
      <c r="K559" s="5"/>
      <c r="M559" s="5"/>
    </row>
    <row r="560">
      <c r="B560" s="6"/>
      <c r="K560" s="5"/>
      <c r="M560" s="5"/>
    </row>
    <row r="561">
      <c r="B561" s="6"/>
      <c r="K561" s="5"/>
      <c r="M561" s="5"/>
    </row>
    <row r="562">
      <c r="B562" s="6"/>
      <c r="K562" s="5"/>
      <c r="M562" s="5"/>
    </row>
    <row r="563">
      <c r="B563" s="6"/>
      <c r="K563" s="5"/>
      <c r="M563" s="5"/>
    </row>
    <row r="564">
      <c r="B564" s="6"/>
      <c r="K564" s="5"/>
      <c r="M564" s="5"/>
    </row>
    <row r="565">
      <c r="B565" s="6"/>
      <c r="K565" s="5"/>
      <c r="M565" s="5"/>
    </row>
    <row r="566">
      <c r="B566" s="6"/>
      <c r="K566" s="5"/>
      <c r="M566" s="5"/>
    </row>
    <row r="567">
      <c r="B567" s="6"/>
      <c r="K567" s="5"/>
      <c r="M567" s="5"/>
    </row>
    <row r="568">
      <c r="B568" s="6"/>
      <c r="K568" s="5"/>
      <c r="M568" s="5"/>
    </row>
    <row r="569">
      <c r="B569" s="6"/>
      <c r="K569" s="5"/>
      <c r="M569" s="5"/>
    </row>
    <row r="570">
      <c r="B570" s="6"/>
      <c r="K570" s="5"/>
      <c r="M570" s="5"/>
    </row>
    <row r="571">
      <c r="B571" s="6"/>
      <c r="K571" s="5"/>
      <c r="M571" s="5"/>
    </row>
    <row r="572">
      <c r="B572" s="6"/>
      <c r="K572" s="5"/>
      <c r="M572" s="5"/>
    </row>
    <row r="573">
      <c r="B573" s="6"/>
      <c r="K573" s="5"/>
      <c r="M573" s="5"/>
    </row>
    <row r="574">
      <c r="B574" s="6"/>
      <c r="K574" s="5"/>
      <c r="M574" s="5"/>
    </row>
    <row r="575">
      <c r="B575" s="6"/>
      <c r="K575" s="5"/>
      <c r="M575" s="5"/>
    </row>
    <row r="576">
      <c r="B576" s="6"/>
      <c r="K576" s="5"/>
      <c r="M576" s="5"/>
    </row>
    <row r="577">
      <c r="B577" s="6"/>
      <c r="K577" s="5"/>
      <c r="M577" s="5"/>
    </row>
    <row r="578">
      <c r="B578" s="6"/>
      <c r="K578" s="5"/>
      <c r="M578" s="5"/>
    </row>
    <row r="579">
      <c r="B579" s="6"/>
      <c r="K579" s="5"/>
      <c r="M579" s="5"/>
    </row>
    <row r="580">
      <c r="B580" s="6"/>
      <c r="K580" s="5"/>
      <c r="M580" s="5"/>
    </row>
    <row r="581">
      <c r="B581" s="6"/>
      <c r="K581" s="5"/>
      <c r="M581" s="5"/>
    </row>
    <row r="582">
      <c r="B582" s="6"/>
      <c r="K582" s="5"/>
      <c r="M582" s="5"/>
    </row>
    <row r="583">
      <c r="B583" s="6"/>
      <c r="K583" s="5"/>
      <c r="M583" s="5"/>
    </row>
    <row r="584">
      <c r="B584" s="6"/>
      <c r="K584" s="5"/>
      <c r="M584" s="5"/>
    </row>
    <row r="585">
      <c r="B585" s="6"/>
      <c r="K585" s="5"/>
      <c r="M585" s="5"/>
    </row>
    <row r="586">
      <c r="B586" s="6"/>
      <c r="K586" s="5"/>
      <c r="M586" s="5"/>
    </row>
    <row r="587">
      <c r="B587" s="6"/>
      <c r="K587" s="5"/>
      <c r="M587" s="5"/>
    </row>
    <row r="588">
      <c r="B588" s="6"/>
      <c r="K588" s="5"/>
      <c r="M588" s="5"/>
    </row>
    <row r="589">
      <c r="B589" s="6"/>
      <c r="K589" s="5"/>
      <c r="M589" s="5"/>
    </row>
    <row r="590">
      <c r="B590" s="6"/>
      <c r="K590" s="5"/>
      <c r="M590" s="5"/>
    </row>
    <row r="591">
      <c r="B591" s="6"/>
      <c r="K591" s="5"/>
      <c r="M591" s="5"/>
    </row>
    <row r="592">
      <c r="B592" s="6"/>
      <c r="K592" s="5"/>
      <c r="M592" s="5"/>
    </row>
    <row r="593">
      <c r="B593" s="6"/>
      <c r="K593" s="5"/>
      <c r="M593" s="5"/>
    </row>
    <row r="594">
      <c r="B594" s="6"/>
      <c r="K594" s="5"/>
      <c r="M594" s="5"/>
    </row>
    <row r="595">
      <c r="B595" s="6"/>
      <c r="K595" s="5"/>
      <c r="M595" s="5"/>
    </row>
    <row r="596">
      <c r="B596" s="6"/>
      <c r="K596" s="5"/>
      <c r="M596" s="5"/>
    </row>
    <row r="597">
      <c r="B597" s="6"/>
      <c r="K597" s="5"/>
      <c r="M597" s="5"/>
    </row>
    <row r="598">
      <c r="B598" s="6"/>
      <c r="K598" s="5"/>
      <c r="M598" s="5"/>
    </row>
    <row r="599">
      <c r="B599" s="6"/>
      <c r="K599" s="5"/>
      <c r="M599" s="5"/>
    </row>
    <row r="600">
      <c r="B600" s="6"/>
      <c r="K600" s="5"/>
      <c r="M600" s="5"/>
    </row>
    <row r="601">
      <c r="B601" s="6"/>
      <c r="K601" s="5"/>
      <c r="M601" s="5"/>
    </row>
    <row r="602">
      <c r="B602" s="6"/>
      <c r="K602" s="5"/>
      <c r="M602" s="5"/>
    </row>
    <row r="603">
      <c r="B603" s="6"/>
      <c r="K603" s="5"/>
      <c r="M603" s="5"/>
    </row>
    <row r="604">
      <c r="B604" s="6"/>
      <c r="K604" s="5"/>
      <c r="M604" s="5"/>
    </row>
    <row r="605">
      <c r="B605" s="6"/>
      <c r="K605" s="5"/>
      <c r="M605" s="5"/>
    </row>
    <row r="606">
      <c r="B606" s="6"/>
      <c r="K606" s="5"/>
      <c r="M606" s="5"/>
    </row>
    <row r="607">
      <c r="B607" s="6"/>
      <c r="K607" s="5"/>
      <c r="M607" s="5"/>
    </row>
    <row r="608">
      <c r="B608" s="6"/>
      <c r="K608" s="5"/>
      <c r="M608" s="5"/>
    </row>
    <row r="609">
      <c r="B609" s="6"/>
      <c r="K609" s="5"/>
      <c r="M609" s="5"/>
    </row>
    <row r="610">
      <c r="B610" s="6"/>
      <c r="K610" s="5"/>
      <c r="M610" s="5"/>
    </row>
    <row r="611">
      <c r="B611" s="6"/>
      <c r="K611" s="5"/>
      <c r="M611" s="5"/>
    </row>
    <row r="612">
      <c r="B612" s="6"/>
      <c r="K612" s="5"/>
      <c r="M612" s="5"/>
    </row>
    <row r="613">
      <c r="B613" s="6"/>
      <c r="K613" s="5"/>
      <c r="M613" s="5"/>
    </row>
    <row r="614">
      <c r="B614" s="6"/>
      <c r="K614" s="5"/>
      <c r="M614" s="5"/>
    </row>
    <row r="615">
      <c r="B615" s="6"/>
      <c r="K615" s="5"/>
      <c r="M615" s="5"/>
    </row>
    <row r="616">
      <c r="B616" s="6"/>
      <c r="K616" s="5"/>
      <c r="M616" s="5"/>
    </row>
    <row r="617">
      <c r="B617" s="6"/>
      <c r="K617" s="5"/>
      <c r="M617" s="5"/>
    </row>
    <row r="618">
      <c r="B618" s="6"/>
      <c r="K618" s="5"/>
      <c r="M618" s="5"/>
    </row>
    <row r="619">
      <c r="B619" s="6"/>
      <c r="K619" s="5"/>
      <c r="M619" s="5"/>
    </row>
    <row r="620">
      <c r="B620" s="6"/>
      <c r="K620" s="5"/>
      <c r="M620" s="5"/>
    </row>
    <row r="621">
      <c r="B621" s="6"/>
      <c r="K621" s="5"/>
      <c r="M621" s="5"/>
    </row>
    <row r="622">
      <c r="B622" s="6"/>
      <c r="K622" s="5"/>
      <c r="M622" s="5"/>
    </row>
    <row r="623">
      <c r="B623" s="6"/>
      <c r="K623" s="5"/>
      <c r="M623" s="5"/>
    </row>
    <row r="624">
      <c r="B624" s="6"/>
      <c r="K624" s="5"/>
      <c r="M624" s="5"/>
    </row>
    <row r="625">
      <c r="B625" s="6"/>
      <c r="K625" s="5"/>
      <c r="M625" s="5"/>
    </row>
    <row r="626">
      <c r="B626" s="6"/>
      <c r="K626" s="5"/>
      <c r="M626" s="5"/>
    </row>
    <row r="627">
      <c r="B627" s="6"/>
      <c r="K627" s="5"/>
      <c r="M627" s="5"/>
    </row>
    <row r="628">
      <c r="B628" s="6"/>
      <c r="K628" s="5"/>
      <c r="M628" s="5"/>
    </row>
    <row r="629">
      <c r="B629" s="6"/>
      <c r="K629" s="5"/>
      <c r="M629" s="5"/>
    </row>
    <row r="630">
      <c r="B630" s="6"/>
      <c r="K630" s="5"/>
      <c r="M630" s="5"/>
    </row>
    <row r="631">
      <c r="B631" s="6"/>
      <c r="K631" s="5"/>
      <c r="M631" s="5"/>
    </row>
    <row r="632">
      <c r="B632" s="6"/>
      <c r="K632" s="5"/>
      <c r="M632" s="5"/>
    </row>
    <row r="633">
      <c r="B633" s="6"/>
      <c r="K633" s="5"/>
      <c r="M633" s="5"/>
    </row>
    <row r="634">
      <c r="B634" s="6"/>
      <c r="K634" s="5"/>
      <c r="M634" s="5"/>
    </row>
    <row r="635">
      <c r="B635" s="6"/>
      <c r="K635" s="5"/>
      <c r="M635" s="5"/>
    </row>
    <row r="636">
      <c r="B636" s="6"/>
      <c r="K636" s="5"/>
      <c r="M636" s="5"/>
    </row>
    <row r="637">
      <c r="B637" s="6"/>
      <c r="K637" s="5"/>
      <c r="M637" s="5"/>
    </row>
    <row r="638">
      <c r="B638" s="6"/>
      <c r="K638" s="5"/>
      <c r="M638" s="5"/>
    </row>
    <row r="639">
      <c r="B639" s="6"/>
      <c r="K639" s="5"/>
      <c r="M639" s="5"/>
    </row>
    <row r="640">
      <c r="B640" s="6"/>
      <c r="K640" s="5"/>
      <c r="M640" s="5"/>
    </row>
    <row r="641">
      <c r="B641" s="6"/>
      <c r="K641" s="5"/>
      <c r="M641" s="5"/>
    </row>
    <row r="642">
      <c r="B642" s="6"/>
      <c r="K642" s="5"/>
      <c r="M642" s="5"/>
    </row>
    <row r="643">
      <c r="B643" s="6"/>
      <c r="K643" s="5"/>
      <c r="M643" s="5"/>
    </row>
    <row r="644">
      <c r="B644" s="6"/>
      <c r="K644" s="5"/>
      <c r="M644" s="5"/>
    </row>
    <row r="645">
      <c r="B645" s="6"/>
      <c r="K645" s="5"/>
      <c r="M645" s="5"/>
    </row>
    <row r="646">
      <c r="B646" s="6"/>
      <c r="K646" s="5"/>
      <c r="M646" s="5"/>
    </row>
    <row r="647">
      <c r="B647" s="6"/>
      <c r="K647" s="5"/>
      <c r="M647" s="5"/>
    </row>
    <row r="648">
      <c r="B648" s="6"/>
      <c r="K648" s="5"/>
      <c r="M648" s="5"/>
    </row>
    <row r="649">
      <c r="B649" s="6"/>
      <c r="K649" s="5"/>
      <c r="M649" s="5"/>
    </row>
    <row r="650">
      <c r="B650" s="6"/>
      <c r="K650" s="5"/>
      <c r="M650" s="5"/>
    </row>
    <row r="651">
      <c r="B651" s="6"/>
      <c r="K651" s="5"/>
      <c r="M651" s="5"/>
    </row>
    <row r="652">
      <c r="B652" s="6"/>
      <c r="K652" s="5"/>
      <c r="M652" s="5"/>
    </row>
    <row r="653">
      <c r="B653" s="6"/>
      <c r="K653" s="5"/>
      <c r="M653" s="5"/>
    </row>
    <row r="654">
      <c r="B654" s="6"/>
      <c r="K654" s="5"/>
      <c r="M654" s="5"/>
    </row>
    <row r="655">
      <c r="B655" s="6"/>
      <c r="K655" s="5"/>
      <c r="M655" s="5"/>
    </row>
    <row r="656">
      <c r="B656" s="6"/>
      <c r="K656" s="5"/>
      <c r="M656" s="5"/>
    </row>
    <row r="657">
      <c r="B657" s="6"/>
      <c r="K657" s="5"/>
      <c r="M657" s="5"/>
    </row>
    <row r="658">
      <c r="B658" s="6"/>
      <c r="K658" s="5"/>
      <c r="M658" s="5"/>
    </row>
    <row r="659">
      <c r="B659" s="6"/>
      <c r="K659" s="5"/>
      <c r="M659" s="5"/>
    </row>
    <row r="660">
      <c r="B660" s="6"/>
      <c r="K660" s="5"/>
      <c r="M660" s="5"/>
    </row>
    <row r="661">
      <c r="B661" s="6"/>
      <c r="K661" s="5"/>
      <c r="M661" s="5"/>
    </row>
    <row r="662">
      <c r="B662" s="6"/>
      <c r="K662" s="5"/>
      <c r="M662" s="5"/>
    </row>
    <row r="663">
      <c r="B663" s="6"/>
      <c r="K663" s="5"/>
      <c r="M663" s="5"/>
    </row>
    <row r="664">
      <c r="B664" s="6"/>
      <c r="K664" s="5"/>
      <c r="M664" s="5"/>
    </row>
    <row r="665">
      <c r="B665" s="6"/>
      <c r="K665" s="5"/>
      <c r="M665" s="5"/>
    </row>
    <row r="666">
      <c r="B666" s="6"/>
      <c r="K666" s="5"/>
      <c r="M666" s="5"/>
    </row>
    <row r="667">
      <c r="B667" s="6"/>
      <c r="K667" s="5"/>
      <c r="M667" s="5"/>
    </row>
    <row r="668">
      <c r="B668" s="6"/>
      <c r="K668" s="5"/>
      <c r="M668" s="5"/>
    </row>
    <row r="669">
      <c r="B669" s="6"/>
      <c r="K669" s="5"/>
      <c r="M669" s="5"/>
    </row>
    <row r="670">
      <c r="B670" s="6"/>
      <c r="K670" s="5"/>
      <c r="M670" s="5"/>
    </row>
    <row r="671">
      <c r="B671" s="6"/>
      <c r="K671" s="5"/>
      <c r="M671" s="5"/>
    </row>
    <row r="672">
      <c r="B672" s="6"/>
      <c r="K672" s="5"/>
      <c r="M672" s="5"/>
    </row>
    <row r="673">
      <c r="B673" s="6"/>
      <c r="K673" s="5"/>
      <c r="M673" s="5"/>
    </row>
    <row r="674">
      <c r="B674" s="6"/>
      <c r="K674" s="5"/>
      <c r="M674" s="5"/>
    </row>
    <row r="675">
      <c r="B675" s="6"/>
      <c r="K675" s="5"/>
      <c r="M675" s="5"/>
    </row>
    <row r="676">
      <c r="B676" s="6"/>
      <c r="K676" s="5"/>
      <c r="M676" s="5"/>
    </row>
    <row r="677">
      <c r="B677" s="6"/>
      <c r="K677" s="5"/>
      <c r="M677" s="5"/>
    </row>
    <row r="678">
      <c r="B678" s="6"/>
      <c r="K678" s="5"/>
      <c r="M678" s="5"/>
    </row>
    <row r="679">
      <c r="B679" s="6"/>
      <c r="K679" s="5"/>
      <c r="M679" s="5"/>
    </row>
    <row r="680">
      <c r="B680" s="6"/>
      <c r="K680" s="5"/>
      <c r="M680" s="5"/>
    </row>
    <row r="681">
      <c r="B681" s="6"/>
      <c r="K681" s="5"/>
      <c r="M681" s="5"/>
    </row>
    <row r="682">
      <c r="B682" s="6"/>
      <c r="K682" s="5"/>
      <c r="M682" s="5"/>
    </row>
    <row r="683">
      <c r="B683" s="6"/>
      <c r="K683" s="5"/>
      <c r="M683" s="5"/>
    </row>
    <row r="684">
      <c r="B684" s="6"/>
      <c r="K684" s="5"/>
      <c r="M684" s="5"/>
    </row>
    <row r="685">
      <c r="B685" s="6"/>
      <c r="K685" s="5"/>
      <c r="M685" s="5"/>
    </row>
    <row r="686">
      <c r="B686" s="6"/>
      <c r="K686" s="5"/>
      <c r="M686" s="5"/>
    </row>
    <row r="687">
      <c r="B687" s="6"/>
      <c r="K687" s="5"/>
      <c r="M687" s="5"/>
    </row>
    <row r="688">
      <c r="B688" s="6"/>
      <c r="K688" s="5"/>
      <c r="M688" s="5"/>
    </row>
    <row r="689">
      <c r="B689" s="6"/>
      <c r="K689" s="5"/>
      <c r="M689" s="5"/>
    </row>
    <row r="690">
      <c r="B690" s="6"/>
      <c r="K690" s="5"/>
      <c r="M690" s="5"/>
    </row>
    <row r="691">
      <c r="B691" s="6"/>
      <c r="K691" s="5"/>
      <c r="M691" s="5"/>
    </row>
    <row r="692">
      <c r="B692" s="6"/>
      <c r="K692" s="5"/>
      <c r="M692" s="5"/>
    </row>
    <row r="693">
      <c r="B693" s="6"/>
      <c r="K693" s="5"/>
      <c r="M693" s="5"/>
    </row>
    <row r="694">
      <c r="B694" s="6"/>
      <c r="K694" s="5"/>
      <c r="M694" s="5"/>
    </row>
    <row r="695">
      <c r="B695" s="6"/>
      <c r="K695" s="5"/>
      <c r="M695" s="5"/>
    </row>
    <row r="696">
      <c r="B696" s="6"/>
      <c r="K696" s="5"/>
      <c r="M696" s="5"/>
    </row>
    <row r="697">
      <c r="B697" s="6"/>
      <c r="K697" s="5"/>
      <c r="M697" s="5"/>
    </row>
    <row r="698">
      <c r="B698" s="6"/>
      <c r="K698" s="5"/>
      <c r="M698" s="5"/>
    </row>
    <row r="699">
      <c r="B699" s="6"/>
      <c r="K699" s="5"/>
      <c r="M699" s="5"/>
    </row>
    <row r="700">
      <c r="B700" s="6"/>
      <c r="K700" s="5"/>
      <c r="M700" s="5"/>
    </row>
    <row r="701">
      <c r="B701" s="6"/>
      <c r="K701" s="5"/>
      <c r="M701" s="5"/>
    </row>
    <row r="702">
      <c r="B702" s="6"/>
      <c r="K702" s="5"/>
      <c r="M702" s="5"/>
    </row>
    <row r="703">
      <c r="B703" s="6"/>
      <c r="K703" s="5"/>
      <c r="M703" s="5"/>
    </row>
    <row r="704">
      <c r="B704" s="6"/>
      <c r="K704" s="5"/>
      <c r="M704" s="5"/>
    </row>
    <row r="705">
      <c r="B705" s="6"/>
      <c r="K705" s="5"/>
      <c r="M705" s="5"/>
    </row>
    <row r="706">
      <c r="B706" s="6"/>
      <c r="K706" s="5"/>
      <c r="M706" s="5"/>
    </row>
    <row r="707">
      <c r="B707" s="6"/>
      <c r="K707" s="5"/>
      <c r="M707" s="5"/>
    </row>
    <row r="708">
      <c r="B708" s="6"/>
      <c r="K708" s="5"/>
      <c r="M708" s="5"/>
    </row>
    <row r="709">
      <c r="B709" s="6"/>
      <c r="K709" s="5"/>
      <c r="M709" s="5"/>
    </row>
    <row r="710">
      <c r="B710" s="6"/>
      <c r="K710" s="5"/>
      <c r="M710" s="5"/>
    </row>
    <row r="711">
      <c r="B711" s="6"/>
      <c r="K711" s="5"/>
      <c r="M711" s="5"/>
    </row>
    <row r="712">
      <c r="B712" s="6"/>
      <c r="K712" s="5"/>
      <c r="M712" s="5"/>
    </row>
    <row r="713">
      <c r="B713" s="6"/>
      <c r="K713" s="5"/>
      <c r="M713" s="5"/>
    </row>
    <row r="714">
      <c r="B714" s="6"/>
      <c r="K714" s="5"/>
      <c r="M714" s="5"/>
    </row>
    <row r="715">
      <c r="B715" s="6"/>
      <c r="K715" s="5"/>
      <c r="M715" s="5"/>
    </row>
    <row r="716">
      <c r="B716" s="6"/>
      <c r="K716" s="5"/>
      <c r="M716" s="5"/>
    </row>
    <row r="717">
      <c r="B717" s="6"/>
      <c r="K717" s="5"/>
      <c r="M717" s="5"/>
    </row>
    <row r="718">
      <c r="B718" s="6"/>
      <c r="K718" s="5"/>
      <c r="M718" s="5"/>
    </row>
    <row r="719">
      <c r="B719" s="6"/>
      <c r="K719" s="5"/>
      <c r="M719" s="5"/>
    </row>
    <row r="720">
      <c r="B720" s="6"/>
      <c r="K720" s="5"/>
      <c r="M720" s="5"/>
    </row>
    <row r="721">
      <c r="B721" s="6"/>
      <c r="K721" s="5"/>
      <c r="M721" s="5"/>
    </row>
    <row r="722">
      <c r="B722" s="6"/>
      <c r="K722" s="5"/>
      <c r="M722" s="5"/>
    </row>
    <row r="723">
      <c r="B723" s="6"/>
      <c r="K723" s="5"/>
      <c r="M723" s="5"/>
    </row>
    <row r="724">
      <c r="B724" s="6"/>
      <c r="K724" s="5"/>
      <c r="M724" s="5"/>
    </row>
    <row r="725">
      <c r="B725" s="6"/>
      <c r="K725" s="5"/>
      <c r="M725" s="5"/>
    </row>
    <row r="726">
      <c r="B726" s="6"/>
      <c r="K726" s="5"/>
      <c r="M726" s="5"/>
    </row>
    <row r="727">
      <c r="B727" s="6"/>
      <c r="K727" s="5"/>
      <c r="M727" s="5"/>
    </row>
    <row r="728">
      <c r="B728" s="6"/>
      <c r="K728" s="5"/>
      <c r="M728" s="5"/>
    </row>
    <row r="729">
      <c r="B729" s="6"/>
      <c r="K729" s="5"/>
      <c r="M729" s="5"/>
    </row>
    <row r="730">
      <c r="B730" s="6"/>
      <c r="K730" s="5"/>
      <c r="M730" s="5"/>
    </row>
    <row r="731">
      <c r="B731" s="6"/>
      <c r="K731" s="5"/>
      <c r="M731" s="5"/>
    </row>
    <row r="732">
      <c r="B732" s="6"/>
      <c r="K732" s="5"/>
      <c r="M732" s="5"/>
    </row>
    <row r="733">
      <c r="B733" s="6"/>
      <c r="K733" s="5"/>
      <c r="M733" s="5"/>
    </row>
    <row r="734">
      <c r="B734" s="6"/>
      <c r="K734" s="5"/>
      <c r="M734" s="5"/>
    </row>
    <row r="735">
      <c r="B735" s="6"/>
      <c r="K735" s="5"/>
      <c r="M735" s="5"/>
    </row>
    <row r="736">
      <c r="B736" s="6"/>
      <c r="K736" s="5"/>
      <c r="M736" s="5"/>
    </row>
    <row r="737">
      <c r="B737" s="6"/>
      <c r="K737" s="5"/>
      <c r="M737" s="5"/>
    </row>
    <row r="738">
      <c r="B738" s="6"/>
      <c r="K738" s="5"/>
      <c r="M738" s="5"/>
    </row>
    <row r="739">
      <c r="B739" s="6"/>
      <c r="K739" s="5"/>
      <c r="M739" s="5"/>
    </row>
    <row r="740">
      <c r="B740" s="6"/>
      <c r="K740" s="5"/>
      <c r="M740" s="5"/>
    </row>
    <row r="741">
      <c r="B741" s="6"/>
      <c r="K741" s="5"/>
      <c r="M741" s="5"/>
    </row>
    <row r="742">
      <c r="B742" s="6"/>
      <c r="K742" s="5"/>
      <c r="M742" s="5"/>
    </row>
    <row r="743">
      <c r="B743" s="6"/>
      <c r="K743" s="5"/>
      <c r="M743" s="5"/>
    </row>
    <row r="744">
      <c r="B744" s="6"/>
      <c r="K744" s="5"/>
      <c r="M744" s="5"/>
    </row>
    <row r="745">
      <c r="B745" s="6"/>
      <c r="K745" s="5"/>
      <c r="M745" s="5"/>
    </row>
    <row r="746">
      <c r="B746" s="6"/>
      <c r="K746" s="5"/>
      <c r="M746" s="5"/>
    </row>
    <row r="747">
      <c r="B747" s="6"/>
      <c r="K747" s="5"/>
      <c r="M747" s="5"/>
    </row>
    <row r="748">
      <c r="B748" s="6"/>
      <c r="K748" s="5"/>
      <c r="M748" s="5"/>
    </row>
    <row r="749">
      <c r="B749" s="6"/>
      <c r="K749" s="5"/>
      <c r="M749" s="5"/>
    </row>
    <row r="750">
      <c r="B750" s="6"/>
      <c r="K750" s="5"/>
      <c r="M750" s="5"/>
    </row>
    <row r="751">
      <c r="B751" s="6"/>
      <c r="K751" s="5"/>
      <c r="M751" s="5"/>
    </row>
    <row r="752">
      <c r="B752" s="6"/>
      <c r="K752" s="5"/>
      <c r="M752" s="5"/>
    </row>
    <row r="753">
      <c r="B753" s="6"/>
      <c r="K753" s="5"/>
      <c r="M753" s="5"/>
    </row>
    <row r="754">
      <c r="B754" s="6"/>
      <c r="K754" s="5"/>
      <c r="M754" s="5"/>
    </row>
    <row r="755">
      <c r="B755" s="6"/>
      <c r="K755" s="5"/>
      <c r="M755" s="5"/>
    </row>
    <row r="756">
      <c r="B756" s="6"/>
      <c r="K756" s="5"/>
      <c r="M756" s="5"/>
    </row>
    <row r="757">
      <c r="B757" s="6"/>
      <c r="K757" s="5"/>
      <c r="M757" s="5"/>
    </row>
    <row r="758">
      <c r="B758" s="6"/>
      <c r="K758" s="5"/>
      <c r="M758" s="5"/>
    </row>
    <row r="759">
      <c r="B759" s="6"/>
      <c r="K759" s="5"/>
      <c r="M759" s="5"/>
    </row>
    <row r="760">
      <c r="B760" s="6"/>
      <c r="K760" s="5"/>
      <c r="M760" s="5"/>
    </row>
    <row r="761">
      <c r="B761" s="6"/>
      <c r="K761" s="5"/>
      <c r="M761" s="5"/>
    </row>
    <row r="762">
      <c r="B762" s="6"/>
      <c r="K762" s="5"/>
      <c r="M762" s="5"/>
    </row>
    <row r="763">
      <c r="B763" s="6"/>
      <c r="K763" s="5"/>
      <c r="M763" s="5"/>
    </row>
    <row r="764">
      <c r="B764" s="6"/>
      <c r="K764" s="5"/>
      <c r="M764" s="5"/>
    </row>
    <row r="765">
      <c r="B765" s="6"/>
      <c r="K765" s="5"/>
      <c r="M765" s="5"/>
    </row>
    <row r="766">
      <c r="B766" s="6"/>
      <c r="K766" s="5"/>
      <c r="M766" s="5"/>
    </row>
    <row r="767">
      <c r="B767" s="6"/>
      <c r="K767" s="5"/>
      <c r="M767" s="5"/>
    </row>
    <row r="768">
      <c r="B768" s="6"/>
      <c r="K768" s="5"/>
      <c r="M768" s="5"/>
    </row>
    <row r="769">
      <c r="B769" s="6"/>
      <c r="K769" s="5"/>
      <c r="M769" s="5"/>
    </row>
    <row r="770">
      <c r="B770" s="6"/>
      <c r="K770" s="5"/>
      <c r="M770" s="5"/>
    </row>
    <row r="771">
      <c r="B771" s="6"/>
      <c r="K771" s="5"/>
      <c r="M771" s="5"/>
    </row>
    <row r="772">
      <c r="B772" s="6"/>
      <c r="K772" s="5"/>
      <c r="M772" s="5"/>
    </row>
    <row r="773">
      <c r="B773" s="6"/>
      <c r="K773" s="5"/>
      <c r="M773" s="5"/>
    </row>
    <row r="774">
      <c r="B774" s="6"/>
      <c r="K774" s="5"/>
      <c r="M774" s="5"/>
    </row>
    <row r="775">
      <c r="B775" s="6"/>
      <c r="K775" s="5"/>
      <c r="M775" s="5"/>
    </row>
    <row r="776">
      <c r="B776" s="6"/>
      <c r="K776" s="5"/>
      <c r="M776" s="5"/>
    </row>
    <row r="777">
      <c r="B777" s="6"/>
      <c r="K777" s="5"/>
      <c r="M777" s="5"/>
    </row>
    <row r="778">
      <c r="B778" s="6"/>
      <c r="K778" s="5"/>
      <c r="M778" s="5"/>
    </row>
    <row r="779">
      <c r="B779" s="6"/>
      <c r="K779" s="5"/>
      <c r="M779" s="5"/>
    </row>
    <row r="780">
      <c r="B780" s="6"/>
      <c r="K780" s="5"/>
      <c r="M780" s="5"/>
    </row>
    <row r="781">
      <c r="B781" s="6"/>
      <c r="K781" s="5"/>
      <c r="M781" s="5"/>
    </row>
    <row r="782">
      <c r="B782" s="6"/>
      <c r="K782" s="5"/>
      <c r="M782" s="5"/>
    </row>
    <row r="783">
      <c r="B783" s="6"/>
      <c r="K783" s="5"/>
      <c r="M783" s="5"/>
    </row>
    <row r="784">
      <c r="B784" s="6"/>
      <c r="K784" s="5"/>
      <c r="M784" s="5"/>
    </row>
    <row r="785">
      <c r="B785" s="6"/>
      <c r="K785" s="5"/>
      <c r="M785" s="5"/>
    </row>
    <row r="786">
      <c r="B786" s="6"/>
      <c r="K786" s="5"/>
      <c r="M786" s="5"/>
    </row>
    <row r="787">
      <c r="B787" s="6"/>
      <c r="K787" s="5"/>
      <c r="M787" s="5"/>
    </row>
    <row r="788">
      <c r="B788" s="6"/>
      <c r="K788" s="5"/>
      <c r="M788" s="5"/>
    </row>
    <row r="789">
      <c r="B789" s="6"/>
      <c r="K789" s="5"/>
      <c r="M789" s="5"/>
    </row>
    <row r="790">
      <c r="B790" s="6"/>
      <c r="K790" s="5"/>
      <c r="M790" s="5"/>
    </row>
    <row r="791">
      <c r="B791" s="6"/>
      <c r="K791" s="5"/>
      <c r="M791" s="5"/>
    </row>
    <row r="792">
      <c r="B792" s="6"/>
      <c r="K792" s="5"/>
      <c r="M792" s="5"/>
    </row>
    <row r="793">
      <c r="B793" s="6"/>
      <c r="K793" s="5"/>
      <c r="M793" s="5"/>
    </row>
    <row r="794">
      <c r="B794" s="6"/>
      <c r="K794" s="5"/>
      <c r="M794" s="5"/>
    </row>
    <row r="795">
      <c r="B795" s="6"/>
      <c r="K795" s="5"/>
      <c r="M795" s="5"/>
    </row>
    <row r="796">
      <c r="B796" s="6"/>
      <c r="K796" s="5"/>
      <c r="M796" s="5"/>
    </row>
    <row r="797">
      <c r="B797" s="6"/>
      <c r="K797" s="5"/>
      <c r="M797" s="5"/>
    </row>
    <row r="798">
      <c r="B798" s="6"/>
      <c r="K798" s="5"/>
      <c r="M798" s="5"/>
    </row>
    <row r="799">
      <c r="B799" s="6"/>
      <c r="K799" s="5"/>
      <c r="M799" s="5"/>
    </row>
    <row r="800">
      <c r="B800" s="6"/>
      <c r="K800" s="5"/>
      <c r="M800" s="5"/>
    </row>
    <row r="801">
      <c r="B801" s="6"/>
      <c r="K801" s="5"/>
      <c r="M801" s="5"/>
    </row>
    <row r="802">
      <c r="B802" s="6"/>
      <c r="K802" s="5"/>
      <c r="M802" s="5"/>
    </row>
    <row r="803">
      <c r="B803" s="6"/>
      <c r="K803" s="5"/>
      <c r="M803" s="5"/>
    </row>
    <row r="804">
      <c r="B804" s="6"/>
      <c r="K804" s="5"/>
      <c r="M804" s="5"/>
    </row>
    <row r="805">
      <c r="B805" s="6"/>
      <c r="K805" s="5"/>
      <c r="M805" s="5"/>
    </row>
    <row r="806">
      <c r="B806" s="6"/>
      <c r="K806" s="5"/>
      <c r="M806" s="5"/>
    </row>
    <row r="807">
      <c r="B807" s="6"/>
      <c r="K807" s="5"/>
      <c r="M807" s="5"/>
    </row>
    <row r="808">
      <c r="B808" s="6"/>
      <c r="K808" s="5"/>
      <c r="M808" s="5"/>
    </row>
    <row r="809">
      <c r="B809" s="6"/>
      <c r="K809" s="5"/>
      <c r="M809" s="5"/>
    </row>
    <row r="810">
      <c r="B810" s="6"/>
      <c r="K810" s="5"/>
      <c r="M810" s="5"/>
    </row>
    <row r="811">
      <c r="B811" s="6"/>
      <c r="K811" s="5"/>
      <c r="M811" s="5"/>
    </row>
    <row r="812">
      <c r="B812" s="6"/>
      <c r="K812" s="5"/>
      <c r="M812" s="5"/>
    </row>
    <row r="813">
      <c r="B813" s="6"/>
      <c r="K813" s="5"/>
      <c r="M813" s="5"/>
    </row>
    <row r="814">
      <c r="B814" s="6"/>
      <c r="K814" s="5"/>
      <c r="M814" s="5"/>
    </row>
    <row r="815">
      <c r="B815" s="6"/>
      <c r="K815" s="5"/>
      <c r="M815" s="5"/>
    </row>
    <row r="816">
      <c r="B816" s="6"/>
      <c r="K816" s="5"/>
      <c r="M816" s="5"/>
    </row>
    <row r="817">
      <c r="B817" s="6"/>
      <c r="K817" s="5"/>
      <c r="M817" s="5"/>
    </row>
    <row r="818">
      <c r="B818" s="6"/>
      <c r="K818" s="5"/>
      <c r="M818" s="5"/>
    </row>
    <row r="819">
      <c r="B819" s="6"/>
      <c r="K819" s="5"/>
      <c r="M819" s="5"/>
    </row>
    <row r="820">
      <c r="B820" s="6"/>
      <c r="K820" s="5"/>
      <c r="M820" s="5"/>
    </row>
    <row r="821">
      <c r="B821" s="6"/>
      <c r="K821" s="5"/>
      <c r="M821" s="5"/>
    </row>
    <row r="822">
      <c r="B822" s="6"/>
      <c r="K822" s="5"/>
      <c r="M822" s="5"/>
    </row>
    <row r="823">
      <c r="B823" s="6"/>
      <c r="K823" s="5"/>
      <c r="M823" s="5"/>
    </row>
    <row r="824">
      <c r="B824" s="6"/>
      <c r="K824" s="5"/>
      <c r="M824" s="5"/>
    </row>
    <row r="825">
      <c r="B825" s="6"/>
      <c r="K825" s="5"/>
      <c r="M825" s="5"/>
    </row>
    <row r="826">
      <c r="B826" s="6"/>
      <c r="K826" s="5"/>
      <c r="M826" s="5"/>
    </row>
    <row r="827">
      <c r="B827" s="6"/>
      <c r="K827" s="5"/>
      <c r="M827" s="5"/>
    </row>
    <row r="828">
      <c r="B828" s="6"/>
      <c r="K828" s="5"/>
      <c r="M828" s="5"/>
    </row>
    <row r="829">
      <c r="B829" s="6"/>
      <c r="K829" s="5"/>
      <c r="M829" s="5"/>
    </row>
    <row r="830">
      <c r="B830" s="6"/>
      <c r="K830" s="5"/>
      <c r="M830" s="5"/>
    </row>
    <row r="831">
      <c r="B831" s="6"/>
      <c r="K831" s="5"/>
      <c r="M831" s="5"/>
    </row>
    <row r="832">
      <c r="B832" s="6"/>
      <c r="K832" s="5"/>
      <c r="M832" s="5"/>
    </row>
    <row r="833">
      <c r="B833" s="6"/>
      <c r="K833" s="5"/>
      <c r="M833" s="5"/>
    </row>
    <row r="834">
      <c r="B834" s="6"/>
      <c r="K834" s="5"/>
      <c r="M834" s="5"/>
    </row>
    <row r="835">
      <c r="B835" s="6"/>
      <c r="K835" s="5"/>
      <c r="M835" s="5"/>
    </row>
    <row r="836">
      <c r="B836" s="6"/>
      <c r="K836" s="5"/>
      <c r="M836" s="5"/>
    </row>
    <row r="837">
      <c r="B837" s="6"/>
      <c r="K837" s="5"/>
      <c r="M837" s="5"/>
    </row>
    <row r="838">
      <c r="B838" s="6"/>
      <c r="K838" s="5"/>
      <c r="M838" s="5"/>
    </row>
    <row r="839">
      <c r="B839" s="6"/>
      <c r="K839" s="5"/>
      <c r="M839" s="5"/>
    </row>
    <row r="840">
      <c r="B840" s="6"/>
      <c r="K840" s="5"/>
      <c r="M840" s="5"/>
    </row>
    <row r="841">
      <c r="B841" s="6"/>
      <c r="K841" s="5"/>
      <c r="M841" s="5"/>
    </row>
    <row r="842">
      <c r="B842" s="6"/>
      <c r="K842" s="5"/>
      <c r="M842" s="5"/>
    </row>
    <row r="843">
      <c r="B843" s="6"/>
      <c r="K843" s="5"/>
      <c r="M843" s="5"/>
    </row>
    <row r="844">
      <c r="B844" s="6"/>
      <c r="K844" s="5"/>
      <c r="M844" s="5"/>
    </row>
    <row r="845">
      <c r="B845" s="6"/>
      <c r="K845" s="5"/>
      <c r="M845" s="5"/>
    </row>
    <row r="846">
      <c r="B846" s="6"/>
      <c r="K846" s="5"/>
      <c r="M846" s="5"/>
    </row>
    <row r="847">
      <c r="B847" s="6"/>
      <c r="K847" s="5"/>
      <c r="M847" s="5"/>
    </row>
    <row r="848">
      <c r="B848" s="6"/>
      <c r="K848" s="5"/>
      <c r="M848" s="5"/>
    </row>
    <row r="849">
      <c r="B849" s="6"/>
      <c r="K849" s="5"/>
      <c r="M849" s="5"/>
    </row>
    <row r="850">
      <c r="B850" s="6"/>
      <c r="K850" s="5"/>
      <c r="M850" s="5"/>
    </row>
    <row r="851">
      <c r="B851" s="6"/>
      <c r="K851" s="5"/>
      <c r="M851" s="5"/>
    </row>
    <row r="852">
      <c r="B852" s="6"/>
      <c r="K852" s="5"/>
      <c r="M852" s="5"/>
    </row>
    <row r="853">
      <c r="B853" s="6"/>
      <c r="K853" s="5"/>
      <c r="M853" s="5"/>
    </row>
    <row r="854">
      <c r="B854" s="6"/>
      <c r="K854" s="5"/>
      <c r="M854" s="5"/>
    </row>
    <row r="855">
      <c r="B855" s="6"/>
      <c r="K855" s="5"/>
      <c r="M855" s="5"/>
    </row>
    <row r="856">
      <c r="B856" s="6"/>
      <c r="K856" s="5"/>
      <c r="M856" s="5"/>
    </row>
    <row r="857">
      <c r="B857" s="6"/>
      <c r="K857" s="5"/>
      <c r="M857" s="5"/>
    </row>
    <row r="858">
      <c r="B858" s="6"/>
      <c r="K858" s="5"/>
      <c r="M858" s="5"/>
    </row>
    <row r="859">
      <c r="B859" s="6"/>
      <c r="K859" s="5"/>
      <c r="M859" s="5"/>
    </row>
    <row r="860">
      <c r="B860" s="6"/>
      <c r="K860" s="5"/>
      <c r="M860" s="5"/>
    </row>
    <row r="861">
      <c r="B861" s="6"/>
      <c r="K861" s="5"/>
      <c r="M861" s="5"/>
    </row>
    <row r="862">
      <c r="B862" s="6"/>
      <c r="K862" s="5"/>
      <c r="M862" s="5"/>
    </row>
    <row r="863">
      <c r="B863" s="6"/>
      <c r="K863" s="5"/>
      <c r="M863" s="5"/>
    </row>
    <row r="864">
      <c r="B864" s="6"/>
      <c r="K864" s="5"/>
      <c r="M864" s="5"/>
    </row>
    <row r="865">
      <c r="B865" s="6"/>
      <c r="K865" s="5"/>
      <c r="M865" s="5"/>
    </row>
    <row r="866">
      <c r="B866" s="6"/>
      <c r="K866" s="5"/>
      <c r="M866" s="5"/>
    </row>
    <row r="867">
      <c r="B867" s="6"/>
      <c r="K867" s="5"/>
      <c r="M867" s="5"/>
    </row>
    <row r="868">
      <c r="B868" s="6"/>
      <c r="K868" s="5"/>
      <c r="M868" s="5"/>
    </row>
    <row r="869">
      <c r="B869" s="6"/>
      <c r="K869" s="5"/>
      <c r="M869" s="5"/>
    </row>
    <row r="870">
      <c r="B870" s="6"/>
      <c r="K870" s="5"/>
      <c r="M870" s="5"/>
    </row>
    <row r="871">
      <c r="B871" s="6"/>
      <c r="K871" s="5"/>
      <c r="M871" s="5"/>
    </row>
    <row r="872">
      <c r="B872" s="6"/>
      <c r="K872" s="5"/>
      <c r="M872" s="5"/>
    </row>
    <row r="873">
      <c r="B873" s="6"/>
      <c r="K873" s="5"/>
      <c r="M873" s="5"/>
    </row>
    <row r="874">
      <c r="B874" s="6"/>
      <c r="K874" s="5"/>
      <c r="M874" s="5"/>
    </row>
    <row r="875">
      <c r="B875" s="6"/>
      <c r="K875" s="5"/>
      <c r="M875" s="5"/>
    </row>
    <row r="876">
      <c r="B876" s="6"/>
      <c r="K876" s="5"/>
      <c r="M876" s="5"/>
    </row>
    <row r="877">
      <c r="B877" s="6"/>
      <c r="K877" s="5"/>
      <c r="M877" s="5"/>
    </row>
    <row r="878">
      <c r="B878" s="6"/>
      <c r="K878" s="5"/>
      <c r="M878" s="5"/>
    </row>
    <row r="879">
      <c r="B879" s="6"/>
      <c r="K879" s="5"/>
      <c r="M879" s="5"/>
    </row>
    <row r="880">
      <c r="B880" s="6"/>
      <c r="K880" s="5"/>
      <c r="M880" s="5"/>
    </row>
    <row r="881">
      <c r="B881" s="6"/>
      <c r="K881" s="5"/>
      <c r="M881" s="5"/>
    </row>
    <row r="882">
      <c r="B882" s="6"/>
      <c r="K882" s="5"/>
      <c r="M882" s="5"/>
    </row>
    <row r="883">
      <c r="B883" s="6"/>
      <c r="K883" s="5"/>
      <c r="M883" s="5"/>
    </row>
    <row r="884">
      <c r="B884" s="6"/>
      <c r="K884" s="5"/>
      <c r="M884" s="5"/>
    </row>
    <row r="885">
      <c r="B885" s="6"/>
      <c r="K885" s="5"/>
      <c r="M885" s="5"/>
    </row>
    <row r="886">
      <c r="B886" s="6"/>
      <c r="K886" s="5"/>
      <c r="M886" s="5"/>
    </row>
    <row r="887">
      <c r="B887" s="6"/>
      <c r="K887" s="5"/>
      <c r="M887" s="5"/>
    </row>
    <row r="888">
      <c r="B888" s="6"/>
      <c r="K888" s="5"/>
      <c r="M888" s="5"/>
    </row>
    <row r="889">
      <c r="B889" s="6"/>
      <c r="K889" s="5"/>
      <c r="M889" s="5"/>
    </row>
    <row r="890">
      <c r="B890" s="6"/>
      <c r="K890" s="5"/>
      <c r="M890" s="5"/>
    </row>
    <row r="891">
      <c r="B891" s="6"/>
      <c r="K891" s="5"/>
      <c r="M891" s="5"/>
    </row>
    <row r="892">
      <c r="B892" s="6"/>
      <c r="K892" s="5"/>
      <c r="M892" s="5"/>
    </row>
    <row r="893">
      <c r="B893" s="6"/>
      <c r="K893" s="5"/>
      <c r="M893" s="5"/>
    </row>
    <row r="894">
      <c r="B894" s="6"/>
      <c r="K894" s="5"/>
      <c r="M894" s="5"/>
    </row>
    <row r="895">
      <c r="B895" s="6"/>
      <c r="K895" s="5"/>
      <c r="M895" s="5"/>
    </row>
    <row r="896">
      <c r="B896" s="6"/>
      <c r="K896" s="5"/>
      <c r="M896" s="5"/>
    </row>
    <row r="897">
      <c r="B897" s="6"/>
      <c r="K897" s="5"/>
      <c r="M897" s="5"/>
    </row>
    <row r="898">
      <c r="B898" s="6"/>
      <c r="K898" s="5"/>
      <c r="M898" s="5"/>
    </row>
    <row r="899">
      <c r="B899" s="6"/>
      <c r="K899" s="5"/>
      <c r="M899" s="5"/>
    </row>
    <row r="900">
      <c r="B900" s="6"/>
      <c r="K900" s="5"/>
      <c r="M900" s="5"/>
    </row>
    <row r="901">
      <c r="B901" s="6"/>
      <c r="K901" s="5"/>
      <c r="M901" s="5"/>
    </row>
    <row r="902">
      <c r="B902" s="6"/>
      <c r="K902" s="5"/>
      <c r="M902" s="5"/>
    </row>
    <row r="903">
      <c r="B903" s="6"/>
      <c r="K903" s="5"/>
      <c r="M903" s="5"/>
    </row>
    <row r="904">
      <c r="B904" s="6"/>
      <c r="K904" s="5"/>
      <c r="M904" s="5"/>
    </row>
    <row r="905">
      <c r="B905" s="6"/>
      <c r="K905" s="5"/>
      <c r="M905" s="5"/>
    </row>
    <row r="906">
      <c r="B906" s="6"/>
      <c r="K906" s="5"/>
      <c r="M906" s="5"/>
    </row>
    <row r="907">
      <c r="B907" s="6"/>
      <c r="K907" s="5"/>
      <c r="M907" s="5"/>
    </row>
    <row r="908">
      <c r="B908" s="6"/>
      <c r="K908" s="5"/>
      <c r="M908" s="5"/>
    </row>
    <row r="909">
      <c r="B909" s="6"/>
      <c r="K909" s="5"/>
      <c r="M909" s="5"/>
    </row>
    <row r="910">
      <c r="B910" s="6"/>
      <c r="K910" s="5"/>
      <c r="M910" s="5"/>
    </row>
    <row r="911">
      <c r="B911" s="6"/>
      <c r="K911" s="5"/>
      <c r="M911" s="5"/>
    </row>
    <row r="912">
      <c r="B912" s="6"/>
      <c r="K912" s="5"/>
      <c r="M912" s="5"/>
    </row>
    <row r="913">
      <c r="B913" s="6"/>
      <c r="K913" s="5"/>
      <c r="M913" s="5"/>
    </row>
    <row r="914">
      <c r="B914" s="6"/>
      <c r="K914" s="5"/>
      <c r="M914" s="5"/>
    </row>
    <row r="915">
      <c r="B915" s="6"/>
      <c r="K915" s="5"/>
      <c r="M915" s="5"/>
    </row>
    <row r="916">
      <c r="B916" s="6"/>
      <c r="K916" s="5"/>
      <c r="M916" s="5"/>
    </row>
    <row r="917">
      <c r="B917" s="6"/>
      <c r="K917" s="5"/>
      <c r="M917" s="5"/>
    </row>
    <row r="918">
      <c r="B918" s="6"/>
      <c r="K918" s="5"/>
      <c r="M918" s="5"/>
    </row>
    <row r="919">
      <c r="B919" s="6"/>
      <c r="K919" s="5"/>
      <c r="M919" s="5"/>
    </row>
    <row r="920">
      <c r="B920" s="6"/>
      <c r="K920" s="5"/>
      <c r="M920" s="5"/>
    </row>
    <row r="921">
      <c r="B921" s="6"/>
      <c r="K921" s="5"/>
      <c r="M921" s="5"/>
    </row>
    <row r="922">
      <c r="B922" s="6"/>
      <c r="K922" s="5"/>
      <c r="M922" s="5"/>
    </row>
    <row r="923">
      <c r="B923" s="6"/>
      <c r="K923" s="5"/>
      <c r="M923" s="5"/>
    </row>
    <row r="924">
      <c r="B924" s="6"/>
      <c r="K924" s="5"/>
      <c r="M924" s="5"/>
    </row>
    <row r="925">
      <c r="B925" s="6"/>
      <c r="K925" s="5"/>
      <c r="M925" s="5"/>
    </row>
    <row r="926">
      <c r="B926" s="6"/>
      <c r="K926" s="5"/>
      <c r="M926" s="5"/>
    </row>
    <row r="927">
      <c r="B927" s="6"/>
      <c r="K927" s="5"/>
      <c r="M927" s="5"/>
    </row>
    <row r="928">
      <c r="B928" s="6"/>
      <c r="K928" s="5"/>
      <c r="M928" s="5"/>
    </row>
    <row r="929">
      <c r="B929" s="6"/>
      <c r="K929" s="5"/>
      <c r="M929" s="5"/>
    </row>
    <row r="930">
      <c r="B930" s="6"/>
      <c r="K930" s="5"/>
      <c r="M930" s="5"/>
    </row>
    <row r="931">
      <c r="B931" s="6"/>
      <c r="K931" s="5"/>
      <c r="M931" s="5"/>
    </row>
    <row r="932">
      <c r="B932" s="6"/>
      <c r="K932" s="5"/>
      <c r="M932" s="5"/>
    </row>
    <row r="933">
      <c r="B933" s="6"/>
      <c r="K933" s="5"/>
      <c r="M933" s="5"/>
    </row>
    <row r="934">
      <c r="B934" s="6"/>
      <c r="K934" s="5"/>
      <c r="M934" s="5"/>
    </row>
    <row r="935">
      <c r="B935" s="6"/>
      <c r="K935" s="5"/>
      <c r="M935" s="5"/>
    </row>
    <row r="936">
      <c r="B936" s="6"/>
      <c r="K936" s="5"/>
      <c r="M936" s="5"/>
    </row>
    <row r="937">
      <c r="B937" s="6"/>
      <c r="K937" s="5"/>
      <c r="M937" s="5"/>
    </row>
    <row r="938">
      <c r="B938" s="6"/>
      <c r="K938" s="5"/>
      <c r="M938" s="5"/>
    </row>
    <row r="939">
      <c r="B939" s="6"/>
      <c r="K939" s="5"/>
      <c r="M939" s="5"/>
    </row>
    <row r="940">
      <c r="B940" s="6"/>
      <c r="K940" s="5"/>
      <c r="M940" s="5"/>
    </row>
    <row r="941">
      <c r="B941" s="6"/>
      <c r="K941" s="5"/>
      <c r="M941" s="5"/>
    </row>
    <row r="942">
      <c r="B942" s="6"/>
      <c r="K942" s="5"/>
      <c r="M942" s="5"/>
    </row>
    <row r="943">
      <c r="B943" s="6"/>
      <c r="K943" s="5"/>
      <c r="M943" s="5"/>
    </row>
    <row r="944">
      <c r="B944" s="6"/>
      <c r="K944" s="5"/>
      <c r="M944" s="5"/>
    </row>
    <row r="945">
      <c r="B945" s="6"/>
      <c r="K945" s="5"/>
      <c r="M945" s="5"/>
    </row>
    <row r="946">
      <c r="B946" s="6"/>
      <c r="K946" s="5"/>
      <c r="M946" s="5"/>
    </row>
    <row r="947">
      <c r="B947" s="6"/>
      <c r="K947" s="5"/>
      <c r="M947" s="5"/>
    </row>
    <row r="948">
      <c r="B948" s="6"/>
      <c r="K948" s="5"/>
      <c r="M948" s="5"/>
    </row>
    <row r="949">
      <c r="B949" s="6"/>
      <c r="K949" s="5"/>
      <c r="M949" s="5"/>
    </row>
    <row r="950">
      <c r="B950" s="6"/>
      <c r="K950" s="5"/>
      <c r="M950" s="5"/>
    </row>
    <row r="951">
      <c r="B951" s="6"/>
      <c r="K951" s="5"/>
      <c r="M951" s="5"/>
    </row>
    <row r="952">
      <c r="B952" s="6"/>
      <c r="K952" s="5"/>
      <c r="M952" s="5"/>
    </row>
    <row r="953">
      <c r="B953" s="6"/>
      <c r="K953" s="5"/>
      <c r="M953" s="5"/>
    </row>
    <row r="954">
      <c r="B954" s="6"/>
      <c r="K954" s="5"/>
      <c r="M954" s="5"/>
    </row>
    <row r="955">
      <c r="B955" s="6"/>
      <c r="K955" s="5"/>
      <c r="M955" s="5"/>
    </row>
    <row r="956">
      <c r="B956" s="6"/>
      <c r="K956" s="5"/>
      <c r="M956" s="5"/>
    </row>
    <row r="957">
      <c r="B957" s="6"/>
      <c r="K957" s="5"/>
      <c r="M957" s="5"/>
    </row>
    <row r="958">
      <c r="B958" s="6"/>
      <c r="K958" s="5"/>
      <c r="M958" s="5"/>
    </row>
    <row r="959">
      <c r="B959" s="6"/>
      <c r="K959" s="5"/>
      <c r="M959" s="5"/>
    </row>
    <row r="960">
      <c r="B960" s="6"/>
      <c r="K960" s="5"/>
      <c r="M960" s="5"/>
    </row>
    <row r="961">
      <c r="B961" s="6"/>
      <c r="K961" s="5"/>
      <c r="M961" s="5"/>
    </row>
    <row r="962">
      <c r="B962" s="6"/>
      <c r="K962" s="5"/>
      <c r="M962" s="5"/>
    </row>
    <row r="963">
      <c r="B963" s="6"/>
      <c r="K963" s="5"/>
      <c r="M963" s="5"/>
    </row>
    <row r="964">
      <c r="B964" s="6"/>
      <c r="K964" s="5"/>
      <c r="M964" s="5"/>
    </row>
    <row r="965">
      <c r="B965" s="6"/>
      <c r="K965" s="5"/>
      <c r="M965" s="5"/>
    </row>
    <row r="966">
      <c r="B966" s="6"/>
      <c r="K966" s="5"/>
      <c r="M966" s="5"/>
    </row>
    <row r="967">
      <c r="B967" s="6"/>
      <c r="K967" s="5"/>
      <c r="M967" s="5"/>
    </row>
    <row r="968">
      <c r="B968" s="6"/>
      <c r="K968" s="5"/>
      <c r="M968" s="5"/>
    </row>
    <row r="969">
      <c r="B969" s="6"/>
      <c r="K969" s="5"/>
      <c r="M969" s="5"/>
    </row>
    <row r="970">
      <c r="B970" s="6"/>
      <c r="K970" s="5"/>
      <c r="M970" s="5"/>
    </row>
    <row r="971">
      <c r="B971" s="6"/>
      <c r="K971" s="5"/>
      <c r="M971" s="5"/>
    </row>
    <row r="972">
      <c r="B972" s="6"/>
      <c r="K972" s="5"/>
      <c r="M972" s="5"/>
    </row>
    <row r="973">
      <c r="B973" s="6"/>
      <c r="K973" s="5"/>
      <c r="M973" s="5"/>
    </row>
    <row r="974">
      <c r="B974" s="6"/>
      <c r="K974" s="5"/>
      <c r="M974" s="5"/>
    </row>
    <row r="975">
      <c r="B975" s="6"/>
      <c r="K975" s="5"/>
      <c r="M975" s="5"/>
    </row>
    <row r="976">
      <c r="B976" s="6"/>
      <c r="K976" s="5"/>
      <c r="M976" s="5"/>
    </row>
    <row r="977">
      <c r="B977" s="6"/>
      <c r="K977" s="5"/>
      <c r="M977" s="5"/>
    </row>
    <row r="978">
      <c r="B978" s="6"/>
      <c r="K978" s="5"/>
      <c r="M978" s="5"/>
    </row>
    <row r="979">
      <c r="B979" s="6"/>
      <c r="K979" s="5"/>
      <c r="M979" s="5"/>
    </row>
    <row r="980">
      <c r="B980" s="6"/>
      <c r="K980" s="5"/>
      <c r="M980" s="5"/>
    </row>
    <row r="981">
      <c r="B981" s="6"/>
      <c r="K981" s="5"/>
      <c r="M981" s="5"/>
    </row>
    <row r="982">
      <c r="B982" s="6"/>
      <c r="K982" s="5"/>
      <c r="M982" s="5"/>
    </row>
    <row r="983">
      <c r="B983" s="6"/>
      <c r="K983" s="5"/>
      <c r="M983" s="5"/>
    </row>
    <row r="984">
      <c r="B984" s="6"/>
      <c r="K984" s="5"/>
      <c r="M984" s="5"/>
    </row>
    <row r="985">
      <c r="B985" s="6"/>
      <c r="K985" s="5"/>
      <c r="M985" s="5"/>
    </row>
    <row r="986">
      <c r="B986" s="6"/>
      <c r="K986" s="5"/>
      <c r="M986" s="5"/>
    </row>
    <row r="987">
      <c r="B987" s="6"/>
      <c r="K987" s="5"/>
      <c r="M987" s="5"/>
    </row>
    <row r="988">
      <c r="B988" s="6"/>
      <c r="K988" s="5"/>
      <c r="M988" s="5"/>
    </row>
    <row r="989">
      <c r="B989" s="6"/>
      <c r="K989" s="5"/>
      <c r="M989" s="5"/>
    </row>
    <row r="990">
      <c r="B990" s="6"/>
      <c r="K990" s="5"/>
      <c r="M990" s="5"/>
    </row>
    <row r="991">
      <c r="B991" s="6"/>
      <c r="K991" s="5"/>
      <c r="M991" s="5"/>
    </row>
    <row r="992">
      <c r="B992" s="6"/>
      <c r="K992" s="5"/>
      <c r="M992" s="5"/>
    </row>
    <row r="993">
      <c r="B993" s="6"/>
      <c r="K993" s="5"/>
      <c r="M993" s="5"/>
    </row>
    <row r="994">
      <c r="B994" s="6"/>
      <c r="K994" s="5"/>
      <c r="M994" s="5"/>
    </row>
    <row r="995">
      <c r="B995" s="6"/>
      <c r="K995" s="5"/>
      <c r="M995" s="5"/>
    </row>
    <row r="996">
      <c r="B996" s="6"/>
      <c r="K996" s="5"/>
      <c r="M996" s="5"/>
    </row>
    <row r="997">
      <c r="B997" s="6"/>
      <c r="K997" s="5"/>
      <c r="M997" s="5"/>
    </row>
    <row r="998">
      <c r="B998" s="6"/>
      <c r="K998" s="5"/>
      <c r="M998" s="5"/>
    </row>
    <row r="999">
      <c r="B999" s="6"/>
      <c r="K999" s="5"/>
      <c r="M999" s="5"/>
    </row>
    <row r="1000">
      <c r="B1000" s="6"/>
      <c r="K1000" s="5"/>
      <c r="M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4" max="4" width="12.63"/>
  </cols>
  <sheetData>
    <row r="1">
      <c r="A1" s="3" t="s">
        <v>108</v>
      </c>
      <c r="B1" s="3" t="s">
        <v>4</v>
      </c>
      <c r="C1" s="3" t="s">
        <v>109</v>
      </c>
    </row>
    <row r="2">
      <c r="A2" s="4">
        <v>46082.0</v>
      </c>
      <c r="B2" s="3" t="s">
        <v>12</v>
      </c>
      <c r="C2" s="7">
        <v>0.0119</v>
      </c>
      <c r="D2" s="5" t="str">
        <f t="shared" ref="D2:D19" si="1">CONCATENATE(A2,B2)</f>
        <v>46082INR</v>
      </c>
    </row>
    <row r="3">
      <c r="A3" s="4">
        <v>46082.0</v>
      </c>
      <c r="B3" s="3" t="s">
        <v>80</v>
      </c>
      <c r="C3" s="7">
        <v>1.08</v>
      </c>
      <c r="D3" s="5" t="str">
        <f t="shared" si="1"/>
        <v>46082EUR</v>
      </c>
    </row>
    <row r="4">
      <c r="A4" s="4">
        <v>46082.0</v>
      </c>
      <c r="B4" s="3" t="s">
        <v>90</v>
      </c>
      <c r="C4" s="7">
        <v>1.0</v>
      </c>
      <c r="D4" s="5" t="str">
        <f t="shared" si="1"/>
        <v>46082USD</v>
      </c>
    </row>
    <row r="5">
      <c r="A5" s="4">
        <v>46083.0</v>
      </c>
      <c r="B5" s="3" t="s">
        <v>12</v>
      </c>
      <c r="C5" s="7">
        <v>0.012</v>
      </c>
      <c r="D5" s="5" t="str">
        <f t="shared" si="1"/>
        <v>46083INR</v>
      </c>
    </row>
    <row r="6">
      <c r="A6" s="4">
        <v>46083.0</v>
      </c>
      <c r="B6" s="3" t="s">
        <v>80</v>
      </c>
      <c r="C6" s="7">
        <v>1.09</v>
      </c>
      <c r="D6" s="5" t="str">
        <f t="shared" si="1"/>
        <v>46083EUR</v>
      </c>
    </row>
    <row r="7">
      <c r="A7" s="4">
        <v>46083.0</v>
      </c>
      <c r="B7" s="3" t="s">
        <v>90</v>
      </c>
      <c r="C7" s="7">
        <v>1.0</v>
      </c>
      <c r="D7" s="5" t="str">
        <f t="shared" si="1"/>
        <v>46083USD</v>
      </c>
    </row>
    <row r="8">
      <c r="A8" s="4">
        <v>46084.0</v>
      </c>
      <c r="B8" s="3" t="s">
        <v>12</v>
      </c>
      <c r="C8" s="7">
        <v>0.0121</v>
      </c>
      <c r="D8" s="5" t="str">
        <f t="shared" si="1"/>
        <v>46084INR</v>
      </c>
    </row>
    <row r="9">
      <c r="A9" s="4">
        <v>46084.0</v>
      </c>
      <c r="B9" s="3" t="s">
        <v>80</v>
      </c>
      <c r="C9" s="7">
        <v>1.08</v>
      </c>
      <c r="D9" s="5" t="str">
        <f t="shared" si="1"/>
        <v>46084EUR</v>
      </c>
    </row>
    <row r="10">
      <c r="A10" s="4">
        <v>46084.0</v>
      </c>
      <c r="B10" s="3" t="s">
        <v>90</v>
      </c>
      <c r="C10" s="7">
        <v>1.0</v>
      </c>
      <c r="D10" s="5" t="str">
        <f t="shared" si="1"/>
        <v>46084USD</v>
      </c>
    </row>
    <row r="11">
      <c r="A11" s="4">
        <v>46085.0</v>
      </c>
      <c r="B11" s="3" t="s">
        <v>12</v>
      </c>
      <c r="C11" s="7">
        <v>0.012</v>
      </c>
      <c r="D11" s="5" t="str">
        <f t="shared" si="1"/>
        <v>46085INR</v>
      </c>
    </row>
    <row r="12">
      <c r="A12" s="4">
        <v>46085.0</v>
      </c>
      <c r="B12" s="3" t="s">
        <v>80</v>
      </c>
      <c r="C12" s="7">
        <v>1.07</v>
      </c>
      <c r="D12" s="5" t="str">
        <f t="shared" si="1"/>
        <v>46085EUR</v>
      </c>
    </row>
    <row r="13">
      <c r="A13" s="4">
        <v>46085.0</v>
      </c>
      <c r="B13" s="3" t="s">
        <v>90</v>
      </c>
      <c r="C13" s="7">
        <v>1.0</v>
      </c>
      <c r="D13" s="5" t="str">
        <f t="shared" si="1"/>
        <v>46085USD</v>
      </c>
    </row>
    <row r="14">
      <c r="A14" s="4">
        <v>46086.0</v>
      </c>
      <c r="B14" s="3" t="s">
        <v>12</v>
      </c>
      <c r="C14" s="7">
        <v>0.0118</v>
      </c>
      <c r="D14" s="5" t="str">
        <f t="shared" si="1"/>
        <v>46086INR</v>
      </c>
    </row>
    <row r="15">
      <c r="A15" s="4">
        <v>46086.0</v>
      </c>
      <c r="B15" s="3" t="s">
        <v>80</v>
      </c>
      <c r="C15" s="7">
        <v>1.09</v>
      </c>
      <c r="D15" s="5" t="str">
        <f t="shared" si="1"/>
        <v>46086EUR</v>
      </c>
    </row>
    <row r="16">
      <c r="A16" s="4">
        <v>46086.0</v>
      </c>
      <c r="B16" s="3" t="s">
        <v>90</v>
      </c>
      <c r="C16" s="7">
        <v>1.0</v>
      </c>
      <c r="D16" s="5" t="str">
        <f t="shared" si="1"/>
        <v>46086USD</v>
      </c>
    </row>
    <row r="17">
      <c r="A17" s="4">
        <v>46087.0</v>
      </c>
      <c r="B17" s="3" t="s">
        <v>12</v>
      </c>
      <c r="C17" s="7">
        <v>0.0119</v>
      </c>
      <c r="D17" s="5" t="str">
        <f t="shared" si="1"/>
        <v>46087INR</v>
      </c>
    </row>
    <row r="18">
      <c r="A18" s="4">
        <v>46087.0</v>
      </c>
      <c r="B18" s="3" t="s">
        <v>80</v>
      </c>
      <c r="C18" s="7">
        <v>1.08</v>
      </c>
      <c r="D18" s="5" t="str">
        <f t="shared" si="1"/>
        <v>46087EUR</v>
      </c>
    </row>
    <row r="19">
      <c r="A19" s="4">
        <v>46087.0</v>
      </c>
      <c r="B19" s="3" t="s">
        <v>90</v>
      </c>
      <c r="C19" s="7">
        <v>1.0</v>
      </c>
      <c r="D19" s="5" t="str">
        <f t="shared" si="1"/>
        <v>46087USD</v>
      </c>
    </row>
    <row r="20">
      <c r="A20" s="6"/>
      <c r="B20" s="6"/>
      <c r="C20" s="6"/>
    </row>
    <row r="21">
      <c r="A21" s="6"/>
      <c r="B21" s="6"/>
      <c r="C21" s="6"/>
    </row>
    <row r="22">
      <c r="A22" s="6"/>
      <c r="B22" s="6"/>
      <c r="C22" s="6"/>
    </row>
    <row r="23">
      <c r="A23" s="6"/>
      <c r="B23" s="6"/>
      <c r="C23" s="6"/>
    </row>
    <row r="24">
      <c r="A24" s="6"/>
      <c r="B24" s="6"/>
      <c r="C24" s="6"/>
    </row>
    <row r="25">
      <c r="A25" s="6"/>
      <c r="B25" s="6"/>
      <c r="C25" s="6"/>
    </row>
    <row r="26">
      <c r="A26" s="6"/>
      <c r="B26" s="6"/>
      <c r="C26" s="6"/>
    </row>
    <row r="27">
      <c r="A27" s="6"/>
      <c r="B27" s="6"/>
      <c r="C27" s="6"/>
    </row>
    <row r="28">
      <c r="A28" s="6"/>
      <c r="B28" s="6"/>
      <c r="C28" s="6"/>
    </row>
    <row r="29">
      <c r="A29" s="6"/>
      <c r="B29" s="6"/>
      <c r="C29" s="6"/>
    </row>
    <row r="30">
      <c r="A30" s="6"/>
      <c r="B30" s="6"/>
      <c r="C30" s="6"/>
    </row>
    <row r="31">
      <c r="A31" s="6"/>
      <c r="B31" s="6"/>
      <c r="C31" s="6"/>
    </row>
    <row r="32">
      <c r="A32" s="6"/>
      <c r="B32" s="6"/>
      <c r="C32" s="6"/>
    </row>
    <row r="33">
      <c r="A33" s="6"/>
      <c r="B33" s="6"/>
      <c r="C33" s="6"/>
    </row>
    <row r="34">
      <c r="A34" s="6"/>
      <c r="B34" s="6"/>
      <c r="C34" s="6"/>
    </row>
    <row r="35">
      <c r="A35" s="6"/>
      <c r="B35" s="6"/>
      <c r="C35" s="6"/>
    </row>
    <row r="36">
      <c r="A36" s="6"/>
      <c r="B36" s="6"/>
      <c r="C36" s="6"/>
    </row>
    <row r="37">
      <c r="A37" s="6"/>
      <c r="B37" s="6"/>
      <c r="C37" s="6"/>
    </row>
    <row r="38">
      <c r="A38" s="6"/>
      <c r="B38" s="6"/>
      <c r="C38" s="6"/>
    </row>
    <row r="39">
      <c r="A39" s="6"/>
      <c r="B39" s="6"/>
      <c r="C39" s="6"/>
    </row>
    <row r="40">
      <c r="A40" s="6"/>
      <c r="B40" s="6"/>
      <c r="C40" s="6"/>
    </row>
    <row r="41">
      <c r="A41" s="6"/>
      <c r="B41" s="6"/>
      <c r="C41" s="6"/>
    </row>
    <row r="42">
      <c r="A42" s="6"/>
      <c r="B42" s="6"/>
      <c r="C42" s="6"/>
    </row>
    <row r="43">
      <c r="A43" s="6"/>
      <c r="B43" s="6"/>
      <c r="C43" s="6"/>
    </row>
    <row r="44">
      <c r="A44" s="6"/>
      <c r="B44" s="6"/>
      <c r="C44" s="6"/>
    </row>
    <row r="45">
      <c r="A45" s="6"/>
      <c r="B45" s="6"/>
      <c r="C45" s="6"/>
    </row>
    <row r="46">
      <c r="A46" s="6"/>
      <c r="B46" s="6"/>
      <c r="C46" s="6"/>
    </row>
    <row r="47">
      <c r="A47" s="6"/>
      <c r="B47" s="6"/>
      <c r="C47" s="6"/>
    </row>
    <row r="48">
      <c r="A48" s="6"/>
      <c r="B48" s="6"/>
      <c r="C48" s="6"/>
    </row>
    <row r="49">
      <c r="A49" s="6"/>
      <c r="B49" s="6"/>
      <c r="C49" s="6"/>
    </row>
    <row r="50">
      <c r="A50" s="6"/>
      <c r="B50" s="6"/>
      <c r="C50" s="6"/>
    </row>
    <row r="51">
      <c r="A51" s="6"/>
      <c r="B51" s="6"/>
      <c r="C51" s="6"/>
    </row>
    <row r="52">
      <c r="A52" s="6"/>
      <c r="B52" s="6"/>
      <c r="C52" s="6"/>
    </row>
    <row r="53">
      <c r="A53" s="6"/>
      <c r="B53" s="6"/>
      <c r="C53" s="6"/>
    </row>
    <row r="54">
      <c r="A54" s="6"/>
      <c r="B54" s="6"/>
      <c r="C54" s="6"/>
    </row>
    <row r="55">
      <c r="A55" s="6"/>
      <c r="B55" s="6"/>
      <c r="C55" s="6"/>
    </row>
    <row r="56">
      <c r="A56" s="6"/>
      <c r="B56" s="6"/>
      <c r="C56" s="6"/>
    </row>
    <row r="57">
      <c r="A57" s="6"/>
      <c r="B57" s="6"/>
      <c r="C57" s="6"/>
    </row>
    <row r="58">
      <c r="A58" s="6"/>
      <c r="B58" s="6"/>
      <c r="C58" s="6"/>
    </row>
    <row r="59">
      <c r="A59" s="6"/>
      <c r="B59" s="6"/>
      <c r="C59" s="6"/>
    </row>
    <row r="60">
      <c r="A60" s="6"/>
      <c r="B60" s="6"/>
      <c r="C60" s="6"/>
    </row>
    <row r="61">
      <c r="A61" s="6"/>
      <c r="B61" s="6"/>
      <c r="C61" s="6"/>
    </row>
    <row r="62">
      <c r="A62" s="6"/>
      <c r="B62" s="6"/>
      <c r="C62" s="6"/>
    </row>
    <row r="63">
      <c r="A63" s="6"/>
      <c r="B63" s="6"/>
      <c r="C63" s="6"/>
    </row>
    <row r="64">
      <c r="A64" s="6"/>
      <c r="B64" s="6"/>
      <c r="C64" s="6"/>
    </row>
    <row r="65">
      <c r="A65" s="6"/>
      <c r="B65" s="6"/>
      <c r="C65" s="6"/>
    </row>
    <row r="66">
      <c r="A66" s="6"/>
      <c r="B66" s="6"/>
      <c r="C66" s="6"/>
    </row>
    <row r="67">
      <c r="A67" s="6"/>
      <c r="B67" s="6"/>
      <c r="C67" s="6"/>
    </row>
    <row r="68">
      <c r="A68" s="6"/>
      <c r="B68" s="6"/>
      <c r="C68" s="6"/>
    </row>
    <row r="69">
      <c r="A69" s="6"/>
      <c r="B69" s="6"/>
      <c r="C69" s="6"/>
    </row>
    <row r="70">
      <c r="A70" s="6"/>
      <c r="B70" s="6"/>
      <c r="C70" s="6"/>
    </row>
    <row r="71">
      <c r="A71" s="6"/>
      <c r="B71" s="6"/>
      <c r="C71" s="6"/>
    </row>
    <row r="72">
      <c r="A72" s="6"/>
      <c r="B72" s="6"/>
      <c r="C72" s="6"/>
    </row>
    <row r="73">
      <c r="A73" s="6"/>
      <c r="B73" s="6"/>
      <c r="C73" s="6"/>
    </row>
    <row r="74">
      <c r="A74" s="6"/>
      <c r="B74" s="6"/>
      <c r="C74" s="6"/>
    </row>
    <row r="75">
      <c r="A75" s="6"/>
      <c r="B75" s="6"/>
      <c r="C75" s="6"/>
    </row>
    <row r="76">
      <c r="A76" s="6"/>
      <c r="B76" s="6"/>
      <c r="C76" s="6"/>
    </row>
    <row r="77">
      <c r="A77" s="6"/>
      <c r="B77" s="6"/>
      <c r="C77" s="6"/>
    </row>
    <row r="78">
      <c r="A78" s="6"/>
      <c r="B78" s="6"/>
      <c r="C78" s="6"/>
    </row>
    <row r="79">
      <c r="A79" s="6"/>
      <c r="B79" s="6"/>
      <c r="C79" s="6"/>
    </row>
    <row r="80">
      <c r="A80" s="6"/>
      <c r="B80" s="6"/>
      <c r="C80" s="6"/>
    </row>
    <row r="81">
      <c r="A81" s="6"/>
      <c r="B81" s="6"/>
      <c r="C81" s="6"/>
    </row>
    <row r="82">
      <c r="A82" s="6"/>
      <c r="B82" s="6"/>
      <c r="C82" s="6"/>
    </row>
    <row r="83">
      <c r="A83" s="6"/>
      <c r="B83" s="6"/>
      <c r="C83" s="6"/>
    </row>
    <row r="84">
      <c r="A84" s="6"/>
      <c r="B84" s="6"/>
      <c r="C84" s="6"/>
    </row>
    <row r="85">
      <c r="A85" s="6"/>
      <c r="B85" s="6"/>
      <c r="C85" s="6"/>
    </row>
    <row r="86">
      <c r="A86" s="6"/>
      <c r="B86" s="6"/>
      <c r="C86" s="6"/>
    </row>
    <row r="87">
      <c r="A87" s="6"/>
      <c r="B87" s="6"/>
      <c r="C87" s="6"/>
    </row>
    <row r="88">
      <c r="A88" s="6"/>
      <c r="B88" s="6"/>
      <c r="C88" s="6"/>
    </row>
    <row r="89">
      <c r="A89" s="6"/>
      <c r="B89" s="6"/>
      <c r="C89" s="6"/>
    </row>
    <row r="90">
      <c r="A90" s="6"/>
      <c r="B90" s="6"/>
      <c r="C90" s="6"/>
    </row>
    <row r="91">
      <c r="A91" s="6"/>
      <c r="B91" s="6"/>
      <c r="C91" s="6"/>
    </row>
    <row r="92">
      <c r="A92" s="6"/>
      <c r="B92" s="6"/>
      <c r="C92" s="6"/>
    </row>
    <row r="93">
      <c r="A93" s="6"/>
      <c r="B93" s="6"/>
      <c r="C93" s="6"/>
    </row>
    <row r="94">
      <c r="A94" s="6"/>
      <c r="B94" s="6"/>
      <c r="C94" s="6"/>
    </row>
    <row r="95">
      <c r="A95" s="6"/>
      <c r="B95" s="6"/>
      <c r="C95" s="6"/>
    </row>
    <row r="96">
      <c r="A96" s="6"/>
      <c r="B96" s="6"/>
      <c r="C96" s="6"/>
    </row>
    <row r="97">
      <c r="A97" s="6"/>
      <c r="B97" s="6"/>
      <c r="C97" s="6"/>
    </row>
    <row r="98">
      <c r="A98" s="6"/>
      <c r="B98" s="6"/>
      <c r="C98" s="6"/>
    </row>
    <row r="99">
      <c r="A99" s="6"/>
      <c r="B99" s="6"/>
      <c r="C99" s="6"/>
    </row>
    <row r="100">
      <c r="A100" s="6"/>
      <c r="B100" s="6"/>
      <c r="C100" s="6"/>
    </row>
    <row r="101">
      <c r="A101" s="6"/>
      <c r="B101" s="6"/>
      <c r="C101" s="6"/>
    </row>
    <row r="102">
      <c r="A102" s="6"/>
      <c r="B102" s="6"/>
      <c r="C102" s="6"/>
    </row>
    <row r="103">
      <c r="A103" s="6"/>
      <c r="B103" s="6"/>
      <c r="C103" s="6"/>
    </row>
    <row r="104">
      <c r="A104" s="6"/>
      <c r="B104" s="6"/>
      <c r="C104" s="6"/>
    </row>
    <row r="105">
      <c r="A105" s="6"/>
      <c r="B105" s="6"/>
      <c r="C105" s="6"/>
    </row>
    <row r="106">
      <c r="A106" s="6"/>
      <c r="B106" s="6"/>
      <c r="C106" s="6"/>
    </row>
    <row r="107">
      <c r="A107" s="6"/>
      <c r="B107" s="6"/>
      <c r="C107" s="6"/>
    </row>
    <row r="108">
      <c r="A108" s="6"/>
      <c r="B108" s="6"/>
      <c r="C108" s="6"/>
    </row>
    <row r="109">
      <c r="A109" s="6"/>
      <c r="B109" s="6"/>
      <c r="C109" s="6"/>
    </row>
    <row r="110">
      <c r="A110" s="6"/>
      <c r="B110" s="6"/>
      <c r="C110" s="6"/>
    </row>
    <row r="111">
      <c r="A111" s="6"/>
      <c r="B111" s="6"/>
      <c r="C111" s="6"/>
    </row>
    <row r="112">
      <c r="A112" s="6"/>
      <c r="B112" s="6"/>
      <c r="C112" s="6"/>
    </row>
    <row r="113">
      <c r="A113" s="6"/>
      <c r="B113" s="6"/>
      <c r="C113" s="6"/>
    </row>
    <row r="114">
      <c r="A114" s="6"/>
      <c r="B114" s="6"/>
      <c r="C114" s="6"/>
    </row>
    <row r="115">
      <c r="A115" s="6"/>
      <c r="B115" s="6"/>
      <c r="C115" s="6"/>
    </row>
    <row r="116">
      <c r="A116" s="6"/>
      <c r="B116" s="6"/>
      <c r="C116" s="6"/>
    </row>
    <row r="117">
      <c r="A117" s="6"/>
      <c r="B117" s="6"/>
      <c r="C117" s="6"/>
    </row>
    <row r="118">
      <c r="A118" s="6"/>
      <c r="B118" s="6"/>
      <c r="C118" s="6"/>
    </row>
    <row r="119">
      <c r="A119" s="6"/>
      <c r="B119" s="6"/>
      <c r="C119" s="6"/>
    </row>
    <row r="120">
      <c r="A120" s="6"/>
      <c r="B120" s="6"/>
      <c r="C120" s="6"/>
    </row>
    <row r="121">
      <c r="A121" s="6"/>
      <c r="B121" s="6"/>
      <c r="C121" s="6"/>
    </row>
    <row r="122">
      <c r="A122" s="6"/>
      <c r="B122" s="6"/>
      <c r="C122" s="6"/>
    </row>
    <row r="123">
      <c r="A123" s="6"/>
      <c r="B123" s="6"/>
      <c r="C123" s="6"/>
    </row>
    <row r="124">
      <c r="A124" s="6"/>
      <c r="B124" s="6"/>
      <c r="C124" s="6"/>
    </row>
    <row r="125">
      <c r="A125" s="6"/>
      <c r="B125" s="6"/>
      <c r="C125" s="6"/>
    </row>
    <row r="126">
      <c r="A126" s="6"/>
      <c r="B126" s="6"/>
      <c r="C126" s="6"/>
    </row>
    <row r="127">
      <c r="A127" s="6"/>
      <c r="B127" s="6"/>
      <c r="C127" s="6"/>
    </row>
    <row r="128">
      <c r="A128" s="6"/>
      <c r="B128" s="6"/>
      <c r="C128" s="6"/>
    </row>
    <row r="129">
      <c r="A129" s="6"/>
      <c r="B129" s="6"/>
      <c r="C129" s="6"/>
    </row>
    <row r="130">
      <c r="A130" s="6"/>
      <c r="B130" s="6"/>
      <c r="C130" s="6"/>
    </row>
    <row r="131">
      <c r="A131" s="6"/>
      <c r="B131" s="6"/>
      <c r="C131" s="6"/>
    </row>
    <row r="132">
      <c r="A132" s="6"/>
      <c r="B132" s="6"/>
      <c r="C132" s="6"/>
    </row>
    <row r="133">
      <c r="A133" s="6"/>
      <c r="B133" s="6"/>
      <c r="C133" s="6"/>
    </row>
    <row r="134">
      <c r="A134" s="6"/>
      <c r="B134" s="6"/>
      <c r="C134" s="6"/>
    </row>
    <row r="135">
      <c r="A135" s="6"/>
      <c r="B135" s="6"/>
      <c r="C135" s="6"/>
    </row>
    <row r="136">
      <c r="A136" s="6"/>
      <c r="B136" s="6"/>
      <c r="C136" s="6"/>
    </row>
    <row r="137">
      <c r="A137" s="6"/>
      <c r="B137" s="6"/>
      <c r="C137" s="6"/>
    </row>
    <row r="138">
      <c r="A138" s="6"/>
      <c r="B138" s="6"/>
      <c r="C138" s="6"/>
    </row>
    <row r="139">
      <c r="A139" s="6"/>
      <c r="B139" s="6"/>
      <c r="C139" s="6"/>
    </row>
    <row r="140">
      <c r="A140" s="6"/>
      <c r="B140" s="6"/>
      <c r="C140" s="6"/>
    </row>
    <row r="141">
      <c r="A141" s="6"/>
      <c r="B141" s="6"/>
      <c r="C141" s="6"/>
    </row>
    <row r="142">
      <c r="A142" s="6"/>
      <c r="B142" s="6"/>
      <c r="C142" s="6"/>
    </row>
    <row r="143">
      <c r="A143" s="6"/>
      <c r="B143" s="6"/>
      <c r="C143" s="6"/>
    </row>
    <row r="144">
      <c r="A144" s="6"/>
      <c r="B144" s="6"/>
      <c r="C144" s="6"/>
    </row>
    <row r="145">
      <c r="A145" s="6"/>
      <c r="B145" s="6"/>
      <c r="C145" s="6"/>
    </row>
    <row r="146">
      <c r="A146" s="6"/>
      <c r="B146" s="6"/>
      <c r="C146" s="6"/>
    </row>
    <row r="147">
      <c r="A147" s="6"/>
      <c r="B147" s="6"/>
      <c r="C147" s="6"/>
    </row>
    <row r="148">
      <c r="A148" s="6"/>
      <c r="B148" s="6"/>
      <c r="C148" s="6"/>
    </row>
    <row r="149">
      <c r="A149" s="6"/>
      <c r="B149" s="6"/>
      <c r="C149" s="6"/>
    </row>
    <row r="150">
      <c r="A150" s="6"/>
      <c r="B150" s="6"/>
      <c r="C150" s="6"/>
    </row>
    <row r="151">
      <c r="A151" s="6"/>
      <c r="B151" s="6"/>
      <c r="C151" s="6"/>
    </row>
    <row r="152">
      <c r="A152" s="6"/>
      <c r="B152" s="6"/>
      <c r="C152" s="6"/>
    </row>
    <row r="153">
      <c r="A153" s="6"/>
      <c r="B153" s="6"/>
      <c r="C153" s="6"/>
    </row>
    <row r="154">
      <c r="A154" s="6"/>
      <c r="B154" s="6"/>
      <c r="C154" s="6"/>
    </row>
    <row r="155">
      <c r="A155" s="6"/>
      <c r="B155" s="6"/>
      <c r="C155" s="6"/>
    </row>
    <row r="156">
      <c r="A156" s="6"/>
      <c r="B156" s="6"/>
      <c r="C156" s="6"/>
    </row>
    <row r="157">
      <c r="A157" s="6"/>
      <c r="B157" s="6"/>
      <c r="C157" s="6"/>
    </row>
    <row r="158">
      <c r="A158" s="6"/>
      <c r="B158" s="6"/>
      <c r="C158" s="6"/>
    </row>
    <row r="159">
      <c r="A159" s="6"/>
      <c r="B159" s="6"/>
      <c r="C159" s="6"/>
    </row>
    <row r="160">
      <c r="A160" s="6"/>
      <c r="B160" s="6"/>
      <c r="C160" s="6"/>
    </row>
    <row r="161">
      <c r="A161" s="6"/>
      <c r="B161" s="6"/>
      <c r="C161" s="6"/>
    </row>
    <row r="162">
      <c r="A162" s="6"/>
      <c r="B162" s="6"/>
      <c r="C162" s="6"/>
    </row>
    <row r="163">
      <c r="A163" s="6"/>
      <c r="B163" s="6"/>
      <c r="C163" s="6"/>
    </row>
    <row r="164">
      <c r="A164" s="6"/>
      <c r="B164" s="6"/>
      <c r="C164" s="6"/>
    </row>
    <row r="165">
      <c r="A165" s="6"/>
      <c r="B165" s="6"/>
      <c r="C165" s="6"/>
    </row>
    <row r="166">
      <c r="A166" s="6"/>
      <c r="B166" s="6"/>
      <c r="C166" s="6"/>
    </row>
    <row r="167">
      <c r="A167" s="6"/>
      <c r="B167" s="6"/>
      <c r="C167" s="6"/>
    </row>
    <row r="168">
      <c r="A168" s="6"/>
      <c r="B168" s="6"/>
      <c r="C168" s="6"/>
    </row>
    <row r="169">
      <c r="A169" s="6"/>
      <c r="B169" s="6"/>
      <c r="C169" s="6"/>
    </row>
    <row r="170">
      <c r="A170" s="6"/>
      <c r="B170" s="6"/>
      <c r="C170" s="6"/>
    </row>
    <row r="171">
      <c r="A171" s="6"/>
      <c r="B171" s="6"/>
      <c r="C171" s="6"/>
    </row>
    <row r="172">
      <c r="A172" s="6"/>
      <c r="B172" s="6"/>
      <c r="C172" s="6"/>
    </row>
    <row r="173">
      <c r="A173" s="6"/>
      <c r="B173" s="6"/>
      <c r="C173" s="6"/>
    </row>
    <row r="174">
      <c r="A174" s="6"/>
      <c r="B174" s="6"/>
      <c r="C174" s="6"/>
    </row>
    <row r="175">
      <c r="A175" s="6"/>
      <c r="B175" s="6"/>
      <c r="C175" s="6"/>
    </row>
    <row r="176">
      <c r="A176" s="6"/>
      <c r="B176" s="6"/>
      <c r="C176" s="6"/>
    </row>
    <row r="177">
      <c r="A177" s="6"/>
      <c r="B177" s="6"/>
      <c r="C177" s="6"/>
    </row>
    <row r="178">
      <c r="A178" s="6"/>
      <c r="B178" s="6"/>
      <c r="C178" s="6"/>
    </row>
    <row r="179">
      <c r="A179" s="6"/>
      <c r="B179" s="6"/>
      <c r="C179" s="6"/>
    </row>
    <row r="180">
      <c r="A180" s="6"/>
      <c r="B180" s="6"/>
      <c r="C180" s="6"/>
    </row>
    <row r="181">
      <c r="A181" s="6"/>
      <c r="B181" s="6"/>
      <c r="C181" s="6"/>
    </row>
    <row r="182">
      <c r="A182" s="6"/>
      <c r="B182" s="6"/>
      <c r="C182" s="6"/>
    </row>
    <row r="183">
      <c r="A183" s="6"/>
      <c r="B183" s="6"/>
      <c r="C183" s="6"/>
    </row>
    <row r="184">
      <c r="A184" s="6"/>
      <c r="B184" s="6"/>
      <c r="C184" s="6"/>
    </row>
    <row r="185">
      <c r="A185" s="6"/>
      <c r="B185" s="6"/>
      <c r="C185" s="6"/>
    </row>
    <row r="186">
      <c r="A186" s="6"/>
      <c r="B186" s="6"/>
      <c r="C186" s="6"/>
    </row>
    <row r="187">
      <c r="A187" s="6"/>
      <c r="B187" s="6"/>
      <c r="C187" s="6"/>
    </row>
    <row r="188">
      <c r="A188" s="6"/>
      <c r="B188" s="6"/>
      <c r="C188" s="6"/>
    </row>
    <row r="189">
      <c r="A189" s="6"/>
      <c r="B189" s="6"/>
      <c r="C189" s="6"/>
    </row>
    <row r="190">
      <c r="A190" s="6"/>
      <c r="B190" s="6"/>
      <c r="C190" s="6"/>
    </row>
    <row r="191">
      <c r="A191" s="6"/>
      <c r="B191" s="6"/>
      <c r="C191" s="6"/>
    </row>
    <row r="192">
      <c r="A192" s="6"/>
      <c r="B192" s="6"/>
      <c r="C192" s="6"/>
    </row>
    <row r="193">
      <c r="A193" s="6"/>
      <c r="B193" s="6"/>
      <c r="C193" s="6"/>
    </row>
    <row r="194">
      <c r="A194" s="6"/>
      <c r="B194" s="6"/>
      <c r="C194" s="6"/>
    </row>
    <row r="195">
      <c r="A195" s="6"/>
      <c r="B195" s="6"/>
      <c r="C195" s="6"/>
    </row>
    <row r="196">
      <c r="A196" s="6"/>
      <c r="B196" s="6"/>
      <c r="C196" s="6"/>
    </row>
    <row r="197">
      <c r="A197" s="6"/>
      <c r="B197" s="6"/>
      <c r="C197" s="6"/>
    </row>
    <row r="198">
      <c r="A198" s="6"/>
      <c r="B198" s="6"/>
      <c r="C198" s="6"/>
    </row>
    <row r="199">
      <c r="A199" s="6"/>
      <c r="B199" s="6"/>
      <c r="C199" s="6"/>
    </row>
    <row r="200">
      <c r="A200" s="6"/>
      <c r="B200" s="6"/>
      <c r="C200" s="6"/>
    </row>
    <row r="201">
      <c r="A201" s="6"/>
      <c r="B201" s="6"/>
      <c r="C201" s="6"/>
    </row>
    <row r="202">
      <c r="A202" s="6"/>
      <c r="B202" s="6"/>
      <c r="C202" s="6"/>
    </row>
    <row r="203">
      <c r="A203" s="6"/>
      <c r="B203" s="6"/>
      <c r="C203" s="6"/>
    </row>
    <row r="204">
      <c r="A204" s="6"/>
      <c r="B204" s="6"/>
      <c r="C204" s="6"/>
    </row>
    <row r="205">
      <c r="A205" s="6"/>
      <c r="B205" s="6"/>
      <c r="C205" s="6"/>
    </row>
    <row r="206">
      <c r="A206" s="6"/>
      <c r="B206" s="6"/>
      <c r="C206" s="6"/>
    </row>
    <row r="207">
      <c r="A207" s="6"/>
      <c r="B207" s="6"/>
      <c r="C207" s="6"/>
    </row>
    <row r="208">
      <c r="A208" s="6"/>
      <c r="B208" s="6"/>
      <c r="C208" s="6"/>
    </row>
    <row r="209">
      <c r="A209" s="6"/>
      <c r="B209" s="6"/>
      <c r="C209" s="6"/>
    </row>
    <row r="210">
      <c r="A210" s="6"/>
      <c r="B210" s="6"/>
      <c r="C210" s="6"/>
    </row>
    <row r="211">
      <c r="A211" s="6"/>
      <c r="B211" s="6"/>
      <c r="C211" s="6"/>
    </row>
    <row r="212">
      <c r="A212" s="6"/>
      <c r="B212" s="6"/>
      <c r="C212" s="6"/>
    </row>
    <row r="213">
      <c r="A213" s="6"/>
      <c r="B213" s="6"/>
      <c r="C213" s="6"/>
    </row>
    <row r="214">
      <c r="A214" s="6"/>
      <c r="B214" s="6"/>
      <c r="C214" s="6"/>
    </row>
    <row r="215">
      <c r="A215" s="6"/>
      <c r="B215" s="6"/>
      <c r="C215" s="6"/>
    </row>
    <row r="216">
      <c r="A216" s="6"/>
      <c r="B216" s="6"/>
      <c r="C216" s="6"/>
    </row>
    <row r="217">
      <c r="A217" s="6"/>
      <c r="B217" s="6"/>
      <c r="C217" s="6"/>
    </row>
    <row r="218">
      <c r="A218" s="6"/>
      <c r="B218" s="6"/>
      <c r="C218" s="6"/>
    </row>
    <row r="219">
      <c r="A219" s="6"/>
      <c r="B219" s="6"/>
      <c r="C219" s="6"/>
    </row>
    <row r="220">
      <c r="A220" s="6"/>
      <c r="B220" s="6"/>
      <c r="C220" s="6"/>
    </row>
    <row r="221">
      <c r="A221" s="6"/>
      <c r="B221" s="6"/>
      <c r="C221" s="6"/>
    </row>
    <row r="222">
      <c r="A222" s="6"/>
      <c r="B222" s="6"/>
      <c r="C222" s="6"/>
    </row>
    <row r="223">
      <c r="A223" s="6"/>
      <c r="B223" s="6"/>
      <c r="C223" s="6"/>
    </row>
    <row r="224">
      <c r="A224" s="6"/>
      <c r="B224" s="6"/>
      <c r="C224" s="6"/>
    </row>
    <row r="225">
      <c r="A225" s="6"/>
      <c r="B225" s="6"/>
      <c r="C225" s="6"/>
    </row>
    <row r="226">
      <c r="A226" s="6"/>
      <c r="B226" s="6"/>
      <c r="C226" s="6"/>
    </row>
    <row r="227">
      <c r="A227" s="6"/>
      <c r="B227" s="6"/>
      <c r="C227" s="6"/>
    </row>
    <row r="228">
      <c r="A228" s="6"/>
      <c r="B228" s="6"/>
      <c r="C228" s="6"/>
    </row>
    <row r="229">
      <c r="A229" s="6"/>
      <c r="B229" s="6"/>
      <c r="C229" s="6"/>
    </row>
    <row r="230">
      <c r="A230" s="6"/>
      <c r="B230" s="6"/>
      <c r="C230" s="6"/>
    </row>
    <row r="231">
      <c r="A231" s="6"/>
      <c r="B231" s="6"/>
      <c r="C231" s="6"/>
    </row>
    <row r="232">
      <c r="A232" s="6"/>
      <c r="B232" s="6"/>
      <c r="C232" s="6"/>
    </row>
    <row r="233">
      <c r="A233" s="6"/>
      <c r="B233" s="6"/>
      <c r="C233" s="6"/>
    </row>
    <row r="234">
      <c r="A234" s="6"/>
      <c r="B234" s="6"/>
      <c r="C234" s="6"/>
    </row>
    <row r="235">
      <c r="A235" s="6"/>
      <c r="B235" s="6"/>
      <c r="C235" s="6"/>
    </row>
    <row r="236">
      <c r="A236" s="6"/>
      <c r="B236" s="6"/>
      <c r="C236" s="6"/>
    </row>
    <row r="237">
      <c r="A237" s="6"/>
      <c r="B237" s="6"/>
      <c r="C237" s="6"/>
    </row>
    <row r="238">
      <c r="A238" s="6"/>
      <c r="B238" s="6"/>
      <c r="C238" s="6"/>
    </row>
    <row r="239">
      <c r="A239" s="6"/>
      <c r="B239" s="6"/>
      <c r="C239" s="6"/>
    </row>
    <row r="240">
      <c r="A240" s="6"/>
      <c r="B240" s="6"/>
      <c r="C240" s="6"/>
    </row>
    <row r="241">
      <c r="A241" s="6"/>
      <c r="B241" s="6"/>
      <c r="C241" s="6"/>
    </row>
    <row r="242">
      <c r="A242" s="6"/>
      <c r="B242" s="6"/>
      <c r="C242" s="6"/>
    </row>
    <row r="243">
      <c r="A243" s="6"/>
      <c r="B243" s="6"/>
      <c r="C243" s="6"/>
    </row>
    <row r="244">
      <c r="A244" s="6"/>
      <c r="B244" s="6"/>
      <c r="C244" s="6"/>
    </row>
    <row r="245">
      <c r="A245" s="6"/>
      <c r="B245" s="6"/>
      <c r="C245" s="6"/>
    </row>
    <row r="246">
      <c r="A246" s="6"/>
      <c r="B246" s="6"/>
      <c r="C246" s="6"/>
    </row>
    <row r="247">
      <c r="A247" s="6"/>
      <c r="B247" s="6"/>
      <c r="C247" s="6"/>
    </row>
    <row r="248">
      <c r="A248" s="6"/>
      <c r="B248" s="6"/>
      <c r="C248" s="6"/>
    </row>
    <row r="249">
      <c r="A249" s="6"/>
      <c r="B249" s="6"/>
      <c r="C249" s="6"/>
    </row>
    <row r="250">
      <c r="A250" s="6"/>
      <c r="B250" s="6"/>
      <c r="C250" s="6"/>
    </row>
    <row r="251">
      <c r="A251" s="6"/>
      <c r="B251" s="6"/>
      <c r="C251" s="6"/>
    </row>
    <row r="252">
      <c r="A252" s="6"/>
      <c r="B252" s="6"/>
      <c r="C252" s="6"/>
    </row>
    <row r="253">
      <c r="A253" s="6"/>
      <c r="B253" s="6"/>
      <c r="C253" s="6"/>
    </row>
    <row r="254">
      <c r="A254" s="6"/>
      <c r="B254" s="6"/>
      <c r="C254" s="6"/>
    </row>
    <row r="255">
      <c r="A255" s="6"/>
      <c r="B255" s="6"/>
      <c r="C255" s="6"/>
    </row>
    <row r="256">
      <c r="A256" s="6"/>
      <c r="B256" s="6"/>
      <c r="C256" s="6"/>
    </row>
    <row r="257">
      <c r="A257" s="6"/>
      <c r="B257" s="6"/>
      <c r="C257" s="6"/>
    </row>
    <row r="258">
      <c r="A258" s="6"/>
      <c r="B258" s="6"/>
      <c r="C258" s="6"/>
    </row>
    <row r="259">
      <c r="A259" s="6"/>
      <c r="B259" s="6"/>
      <c r="C259" s="6"/>
    </row>
    <row r="260">
      <c r="A260" s="6"/>
      <c r="B260" s="6"/>
      <c r="C260" s="6"/>
    </row>
    <row r="261">
      <c r="A261" s="6"/>
      <c r="B261" s="6"/>
      <c r="C261" s="6"/>
    </row>
    <row r="262">
      <c r="A262" s="6"/>
      <c r="B262" s="6"/>
      <c r="C262" s="6"/>
    </row>
    <row r="263">
      <c r="A263" s="6"/>
      <c r="B263" s="6"/>
      <c r="C263" s="6"/>
    </row>
    <row r="264">
      <c r="A264" s="6"/>
      <c r="B264" s="6"/>
      <c r="C264" s="6"/>
    </row>
    <row r="265">
      <c r="A265" s="6"/>
      <c r="B265" s="6"/>
      <c r="C265" s="6"/>
    </row>
    <row r="266">
      <c r="A266" s="6"/>
      <c r="B266" s="6"/>
      <c r="C266" s="6"/>
    </row>
    <row r="267">
      <c r="A267" s="6"/>
      <c r="B267" s="6"/>
      <c r="C267" s="6"/>
    </row>
    <row r="268">
      <c r="A268" s="6"/>
      <c r="B268" s="6"/>
      <c r="C268" s="6"/>
    </row>
    <row r="269">
      <c r="A269" s="6"/>
      <c r="B269" s="6"/>
      <c r="C269" s="6"/>
    </row>
    <row r="270">
      <c r="A270" s="6"/>
      <c r="B270" s="6"/>
      <c r="C270" s="6"/>
    </row>
    <row r="271">
      <c r="A271" s="6"/>
      <c r="B271" s="6"/>
      <c r="C271" s="6"/>
    </row>
    <row r="272">
      <c r="A272" s="6"/>
      <c r="B272" s="6"/>
      <c r="C272" s="6"/>
    </row>
    <row r="273">
      <c r="A273" s="6"/>
      <c r="B273" s="6"/>
      <c r="C273" s="6"/>
    </row>
    <row r="274">
      <c r="A274" s="6"/>
      <c r="B274" s="6"/>
      <c r="C274" s="6"/>
    </row>
    <row r="275">
      <c r="A275" s="6"/>
      <c r="B275" s="6"/>
      <c r="C275" s="6"/>
    </row>
    <row r="276">
      <c r="A276" s="6"/>
      <c r="B276" s="6"/>
      <c r="C276" s="6"/>
    </row>
    <row r="277">
      <c r="A277" s="6"/>
      <c r="B277" s="6"/>
      <c r="C277" s="6"/>
    </row>
    <row r="278">
      <c r="A278" s="6"/>
      <c r="B278" s="6"/>
      <c r="C278" s="6"/>
    </row>
    <row r="279">
      <c r="A279" s="6"/>
      <c r="B279" s="6"/>
      <c r="C279" s="6"/>
    </row>
    <row r="280">
      <c r="A280" s="6"/>
      <c r="B280" s="6"/>
      <c r="C280" s="6"/>
    </row>
    <row r="281">
      <c r="A281" s="6"/>
      <c r="B281" s="6"/>
      <c r="C281" s="6"/>
    </row>
    <row r="282">
      <c r="A282" s="6"/>
      <c r="B282" s="6"/>
      <c r="C282" s="6"/>
    </row>
    <row r="283">
      <c r="A283" s="6"/>
      <c r="B283" s="6"/>
      <c r="C283" s="6"/>
    </row>
    <row r="284">
      <c r="A284" s="6"/>
      <c r="B284" s="6"/>
      <c r="C284" s="6"/>
    </row>
    <row r="285">
      <c r="A285" s="6"/>
      <c r="B285" s="6"/>
      <c r="C285" s="6"/>
    </row>
    <row r="286">
      <c r="A286" s="6"/>
      <c r="B286" s="6"/>
      <c r="C286" s="6"/>
    </row>
    <row r="287">
      <c r="A287" s="6"/>
      <c r="B287" s="6"/>
      <c r="C287" s="6"/>
    </row>
    <row r="288">
      <c r="A288" s="6"/>
      <c r="B288" s="6"/>
      <c r="C288" s="6"/>
    </row>
    <row r="289">
      <c r="A289" s="6"/>
      <c r="B289" s="6"/>
      <c r="C289" s="6"/>
    </row>
    <row r="290">
      <c r="A290" s="6"/>
      <c r="B290" s="6"/>
      <c r="C290" s="6"/>
    </row>
    <row r="291">
      <c r="A291" s="6"/>
      <c r="B291" s="6"/>
      <c r="C291" s="6"/>
    </row>
    <row r="292">
      <c r="A292" s="6"/>
      <c r="B292" s="6"/>
      <c r="C292" s="6"/>
    </row>
    <row r="293">
      <c r="A293" s="6"/>
      <c r="B293" s="6"/>
      <c r="C293" s="6"/>
    </row>
    <row r="294">
      <c r="A294" s="6"/>
      <c r="B294" s="6"/>
      <c r="C294" s="6"/>
    </row>
    <row r="295">
      <c r="A295" s="6"/>
      <c r="B295" s="6"/>
      <c r="C295" s="6"/>
    </row>
    <row r="296">
      <c r="A296" s="6"/>
      <c r="B296" s="6"/>
      <c r="C296" s="6"/>
    </row>
    <row r="297">
      <c r="A297" s="6"/>
      <c r="B297" s="6"/>
      <c r="C297" s="6"/>
    </row>
    <row r="298">
      <c r="A298" s="6"/>
      <c r="B298" s="6"/>
      <c r="C298" s="6"/>
    </row>
    <row r="299">
      <c r="A299" s="6"/>
      <c r="B299" s="6"/>
      <c r="C299" s="6"/>
    </row>
    <row r="300">
      <c r="A300" s="6"/>
      <c r="B300" s="6"/>
      <c r="C300" s="6"/>
    </row>
    <row r="301">
      <c r="A301" s="6"/>
      <c r="B301" s="6"/>
      <c r="C301" s="6"/>
    </row>
    <row r="302">
      <c r="A302" s="6"/>
      <c r="B302" s="6"/>
      <c r="C302" s="6"/>
    </row>
    <row r="303">
      <c r="A303" s="6"/>
      <c r="B303" s="6"/>
      <c r="C303" s="6"/>
    </row>
    <row r="304">
      <c r="A304" s="6"/>
      <c r="B304" s="6"/>
      <c r="C304" s="6"/>
    </row>
    <row r="305">
      <c r="A305" s="6"/>
      <c r="B305" s="6"/>
      <c r="C305" s="6"/>
    </row>
    <row r="306">
      <c r="A306" s="6"/>
      <c r="B306" s="6"/>
      <c r="C306" s="6"/>
    </row>
    <row r="307">
      <c r="A307" s="6"/>
      <c r="B307" s="6"/>
      <c r="C307" s="6"/>
    </row>
    <row r="308">
      <c r="A308" s="6"/>
      <c r="B308" s="6"/>
      <c r="C308" s="6"/>
    </row>
    <row r="309">
      <c r="A309" s="6"/>
      <c r="B309" s="6"/>
      <c r="C309" s="6"/>
    </row>
    <row r="310">
      <c r="A310" s="6"/>
      <c r="B310" s="6"/>
      <c r="C310" s="6"/>
    </row>
    <row r="311">
      <c r="A311" s="6"/>
      <c r="B311" s="6"/>
      <c r="C311" s="6"/>
    </row>
    <row r="312">
      <c r="A312" s="6"/>
      <c r="B312" s="6"/>
      <c r="C312" s="6"/>
    </row>
    <row r="313">
      <c r="A313" s="6"/>
      <c r="B313" s="6"/>
      <c r="C313" s="6"/>
    </row>
    <row r="314">
      <c r="A314" s="6"/>
      <c r="B314" s="6"/>
      <c r="C314" s="6"/>
    </row>
    <row r="315">
      <c r="A315" s="6"/>
      <c r="B315" s="6"/>
      <c r="C315" s="6"/>
    </row>
    <row r="316">
      <c r="A316" s="6"/>
      <c r="B316" s="6"/>
      <c r="C316" s="6"/>
    </row>
    <row r="317">
      <c r="A317" s="6"/>
      <c r="B317" s="6"/>
      <c r="C317" s="6"/>
    </row>
    <row r="318">
      <c r="A318" s="6"/>
      <c r="B318" s="6"/>
      <c r="C318" s="6"/>
    </row>
    <row r="319">
      <c r="A319" s="6"/>
      <c r="B319" s="6"/>
      <c r="C319" s="6"/>
    </row>
    <row r="320">
      <c r="A320" s="6"/>
      <c r="B320" s="6"/>
      <c r="C320" s="6"/>
    </row>
    <row r="321">
      <c r="A321" s="6"/>
      <c r="B321" s="6"/>
      <c r="C321" s="6"/>
    </row>
    <row r="322">
      <c r="A322" s="6"/>
      <c r="B322" s="6"/>
      <c r="C322" s="6"/>
    </row>
    <row r="323">
      <c r="A323" s="6"/>
      <c r="B323" s="6"/>
      <c r="C323" s="6"/>
    </row>
    <row r="324">
      <c r="A324" s="6"/>
      <c r="B324" s="6"/>
      <c r="C324" s="6"/>
    </row>
    <row r="325">
      <c r="A325" s="6"/>
      <c r="B325" s="6"/>
      <c r="C325" s="6"/>
    </row>
    <row r="326">
      <c r="A326" s="6"/>
      <c r="B326" s="6"/>
      <c r="C326" s="6"/>
    </row>
    <row r="327">
      <c r="A327" s="6"/>
      <c r="B327" s="6"/>
      <c r="C327" s="6"/>
    </row>
    <row r="328">
      <c r="A328" s="6"/>
      <c r="B328" s="6"/>
      <c r="C328" s="6"/>
    </row>
    <row r="329">
      <c r="A329" s="6"/>
      <c r="B329" s="6"/>
      <c r="C329" s="6"/>
    </row>
    <row r="330">
      <c r="A330" s="6"/>
      <c r="B330" s="6"/>
      <c r="C330" s="6"/>
    </row>
    <row r="331">
      <c r="A331" s="6"/>
      <c r="B331" s="6"/>
      <c r="C331" s="6"/>
    </row>
    <row r="332">
      <c r="A332" s="6"/>
      <c r="B332" s="6"/>
      <c r="C332" s="6"/>
    </row>
    <row r="333">
      <c r="A333" s="6"/>
      <c r="B333" s="6"/>
      <c r="C333" s="6"/>
    </row>
    <row r="334">
      <c r="A334" s="6"/>
      <c r="B334" s="6"/>
      <c r="C334" s="6"/>
    </row>
    <row r="335">
      <c r="A335" s="6"/>
      <c r="B335" s="6"/>
      <c r="C335" s="6"/>
    </row>
    <row r="336">
      <c r="A336" s="6"/>
      <c r="B336" s="6"/>
      <c r="C336" s="6"/>
    </row>
    <row r="337">
      <c r="A337" s="6"/>
      <c r="B337" s="6"/>
      <c r="C337" s="6"/>
    </row>
    <row r="338">
      <c r="A338" s="6"/>
      <c r="B338" s="6"/>
      <c r="C338" s="6"/>
    </row>
    <row r="339">
      <c r="A339" s="6"/>
      <c r="B339" s="6"/>
      <c r="C339" s="6"/>
    </row>
    <row r="340">
      <c r="A340" s="6"/>
      <c r="B340" s="6"/>
      <c r="C340" s="6"/>
    </row>
    <row r="341">
      <c r="A341" s="6"/>
      <c r="B341" s="6"/>
      <c r="C341" s="6"/>
    </row>
    <row r="342">
      <c r="A342" s="6"/>
      <c r="B342" s="6"/>
      <c r="C342" s="6"/>
    </row>
    <row r="343">
      <c r="A343" s="6"/>
      <c r="B343" s="6"/>
      <c r="C343" s="6"/>
    </row>
    <row r="344">
      <c r="A344" s="6"/>
      <c r="B344" s="6"/>
      <c r="C344" s="6"/>
    </row>
    <row r="345">
      <c r="A345" s="6"/>
      <c r="B345" s="6"/>
      <c r="C345" s="6"/>
    </row>
    <row r="346">
      <c r="A346" s="6"/>
      <c r="B346" s="6"/>
      <c r="C346" s="6"/>
    </row>
    <row r="347">
      <c r="A347" s="6"/>
      <c r="B347" s="6"/>
      <c r="C347" s="6"/>
    </row>
    <row r="348">
      <c r="A348" s="6"/>
      <c r="B348" s="6"/>
      <c r="C348" s="6"/>
    </row>
    <row r="349">
      <c r="A349" s="6"/>
      <c r="B349" s="6"/>
      <c r="C349" s="6"/>
    </row>
    <row r="350">
      <c r="A350" s="6"/>
      <c r="B350" s="6"/>
      <c r="C350" s="6"/>
    </row>
    <row r="351">
      <c r="A351" s="6"/>
      <c r="B351" s="6"/>
      <c r="C351" s="6"/>
    </row>
    <row r="352">
      <c r="A352" s="6"/>
      <c r="B352" s="6"/>
      <c r="C352" s="6"/>
    </row>
    <row r="353">
      <c r="A353" s="6"/>
      <c r="B353" s="6"/>
      <c r="C353" s="6"/>
    </row>
    <row r="354">
      <c r="A354" s="6"/>
      <c r="B354" s="6"/>
      <c r="C354" s="6"/>
    </row>
    <row r="355">
      <c r="A355" s="6"/>
      <c r="B355" s="6"/>
      <c r="C355" s="6"/>
    </row>
    <row r="356">
      <c r="A356" s="6"/>
      <c r="B356" s="6"/>
      <c r="C356" s="6"/>
    </row>
    <row r="357">
      <c r="A357" s="6"/>
      <c r="B357" s="6"/>
      <c r="C357" s="6"/>
    </row>
    <row r="358">
      <c r="A358" s="6"/>
      <c r="B358" s="6"/>
      <c r="C358" s="6"/>
    </row>
    <row r="359">
      <c r="A359" s="6"/>
      <c r="B359" s="6"/>
      <c r="C359" s="6"/>
    </row>
    <row r="360">
      <c r="A360" s="6"/>
      <c r="B360" s="6"/>
      <c r="C360" s="6"/>
    </row>
    <row r="361">
      <c r="A361" s="6"/>
      <c r="B361" s="6"/>
      <c r="C361" s="6"/>
    </row>
    <row r="362">
      <c r="A362" s="6"/>
      <c r="B362" s="6"/>
      <c r="C362" s="6"/>
    </row>
    <row r="363">
      <c r="A363" s="6"/>
      <c r="B363" s="6"/>
      <c r="C363" s="6"/>
    </row>
    <row r="364">
      <c r="A364" s="6"/>
      <c r="B364" s="6"/>
      <c r="C364" s="6"/>
    </row>
    <row r="365">
      <c r="A365" s="6"/>
      <c r="B365" s="6"/>
      <c r="C365" s="6"/>
    </row>
    <row r="366">
      <c r="A366" s="6"/>
      <c r="B366" s="6"/>
      <c r="C366" s="6"/>
    </row>
    <row r="367">
      <c r="A367" s="6"/>
      <c r="B367" s="6"/>
      <c r="C367" s="6"/>
    </row>
    <row r="368">
      <c r="A368" s="6"/>
      <c r="B368" s="6"/>
      <c r="C368" s="6"/>
    </row>
    <row r="369">
      <c r="A369" s="6"/>
      <c r="B369" s="6"/>
      <c r="C369" s="6"/>
    </row>
    <row r="370">
      <c r="A370" s="6"/>
      <c r="B370" s="6"/>
      <c r="C370" s="6"/>
    </row>
    <row r="371">
      <c r="A371" s="6"/>
      <c r="B371" s="6"/>
      <c r="C371" s="6"/>
    </row>
    <row r="372">
      <c r="A372" s="6"/>
      <c r="B372" s="6"/>
      <c r="C372" s="6"/>
    </row>
    <row r="373">
      <c r="A373" s="6"/>
      <c r="B373" s="6"/>
      <c r="C373" s="6"/>
    </row>
    <row r="374">
      <c r="A374" s="6"/>
      <c r="B374" s="6"/>
      <c r="C374" s="6"/>
    </row>
    <row r="375">
      <c r="A375" s="6"/>
      <c r="B375" s="6"/>
      <c r="C375" s="6"/>
    </row>
    <row r="376">
      <c r="A376" s="6"/>
      <c r="B376" s="6"/>
      <c r="C376" s="6"/>
    </row>
    <row r="377">
      <c r="A377" s="6"/>
      <c r="B377" s="6"/>
      <c r="C377" s="6"/>
    </row>
    <row r="378">
      <c r="A378" s="6"/>
      <c r="B378" s="6"/>
      <c r="C378" s="6"/>
    </row>
    <row r="379">
      <c r="A379" s="6"/>
      <c r="B379" s="6"/>
      <c r="C379" s="6"/>
    </row>
    <row r="380">
      <c r="A380" s="6"/>
      <c r="B380" s="6"/>
      <c r="C380" s="6"/>
    </row>
    <row r="381">
      <c r="A381" s="6"/>
      <c r="B381" s="6"/>
      <c r="C381" s="6"/>
    </row>
    <row r="382">
      <c r="A382" s="6"/>
      <c r="B382" s="6"/>
      <c r="C382" s="6"/>
    </row>
    <row r="383">
      <c r="A383" s="6"/>
      <c r="B383" s="6"/>
      <c r="C383" s="6"/>
    </row>
    <row r="384">
      <c r="A384" s="6"/>
      <c r="B384" s="6"/>
      <c r="C384" s="6"/>
    </row>
    <row r="385">
      <c r="A385" s="6"/>
      <c r="B385" s="6"/>
      <c r="C385" s="6"/>
    </row>
    <row r="386">
      <c r="A386" s="6"/>
      <c r="B386" s="6"/>
      <c r="C386" s="6"/>
    </row>
    <row r="387">
      <c r="A387" s="6"/>
      <c r="B387" s="6"/>
      <c r="C387" s="6"/>
    </row>
    <row r="388">
      <c r="A388" s="6"/>
      <c r="B388" s="6"/>
      <c r="C388" s="6"/>
    </row>
    <row r="389">
      <c r="A389" s="6"/>
      <c r="B389" s="6"/>
      <c r="C389" s="6"/>
    </row>
    <row r="390">
      <c r="A390" s="6"/>
      <c r="B390" s="6"/>
      <c r="C390" s="6"/>
    </row>
    <row r="391">
      <c r="A391" s="6"/>
      <c r="B391" s="6"/>
      <c r="C391" s="6"/>
    </row>
    <row r="392">
      <c r="A392" s="6"/>
      <c r="B392" s="6"/>
      <c r="C392" s="6"/>
    </row>
    <row r="393">
      <c r="A393" s="6"/>
      <c r="B393" s="6"/>
      <c r="C393" s="6"/>
    </row>
    <row r="394">
      <c r="A394" s="6"/>
      <c r="B394" s="6"/>
      <c r="C394" s="6"/>
    </row>
    <row r="395">
      <c r="A395" s="6"/>
      <c r="B395" s="6"/>
      <c r="C395" s="6"/>
    </row>
    <row r="396">
      <c r="A396" s="6"/>
      <c r="B396" s="6"/>
      <c r="C396" s="6"/>
    </row>
    <row r="397">
      <c r="A397" s="6"/>
      <c r="B397" s="6"/>
      <c r="C397" s="6"/>
    </row>
    <row r="398">
      <c r="A398" s="6"/>
      <c r="B398" s="6"/>
      <c r="C398" s="6"/>
    </row>
    <row r="399">
      <c r="A399" s="6"/>
      <c r="B399" s="6"/>
      <c r="C399" s="6"/>
    </row>
    <row r="400">
      <c r="A400" s="6"/>
      <c r="B400" s="6"/>
      <c r="C400" s="6"/>
    </row>
    <row r="401">
      <c r="A401" s="6"/>
      <c r="B401" s="6"/>
      <c r="C401" s="6"/>
    </row>
    <row r="402">
      <c r="A402" s="6"/>
      <c r="B402" s="6"/>
      <c r="C402" s="6"/>
    </row>
    <row r="403">
      <c r="A403" s="6"/>
      <c r="B403" s="6"/>
      <c r="C403" s="6"/>
    </row>
    <row r="404">
      <c r="A404" s="6"/>
      <c r="B404" s="6"/>
      <c r="C404" s="6"/>
    </row>
    <row r="405">
      <c r="A405" s="6"/>
      <c r="B405" s="6"/>
      <c r="C405" s="6"/>
    </row>
    <row r="406">
      <c r="A406" s="6"/>
      <c r="B406" s="6"/>
      <c r="C406" s="6"/>
    </row>
    <row r="407">
      <c r="A407" s="6"/>
      <c r="B407" s="6"/>
      <c r="C407" s="6"/>
    </row>
    <row r="408">
      <c r="A408" s="6"/>
      <c r="B408" s="6"/>
      <c r="C408" s="6"/>
    </row>
    <row r="409">
      <c r="A409" s="6"/>
      <c r="B409" s="6"/>
      <c r="C409" s="6"/>
    </row>
    <row r="410">
      <c r="A410" s="6"/>
      <c r="B410" s="6"/>
      <c r="C410" s="6"/>
    </row>
    <row r="411">
      <c r="A411" s="6"/>
      <c r="B411" s="6"/>
      <c r="C411" s="6"/>
    </row>
    <row r="412">
      <c r="A412" s="6"/>
      <c r="B412" s="6"/>
      <c r="C412" s="6"/>
    </row>
    <row r="413">
      <c r="A413" s="6"/>
      <c r="B413" s="6"/>
      <c r="C413" s="6"/>
    </row>
    <row r="414">
      <c r="A414" s="6"/>
      <c r="B414" s="6"/>
      <c r="C414" s="6"/>
    </row>
    <row r="415">
      <c r="A415" s="6"/>
      <c r="B415" s="6"/>
      <c r="C415" s="6"/>
    </row>
    <row r="416">
      <c r="A416" s="6"/>
      <c r="B416" s="6"/>
      <c r="C416" s="6"/>
    </row>
    <row r="417">
      <c r="A417" s="6"/>
      <c r="B417" s="6"/>
      <c r="C417" s="6"/>
    </row>
    <row r="418">
      <c r="A418" s="6"/>
      <c r="B418" s="6"/>
      <c r="C418" s="6"/>
    </row>
    <row r="419">
      <c r="A419" s="6"/>
      <c r="B419" s="6"/>
      <c r="C419" s="6"/>
    </row>
    <row r="420">
      <c r="A420" s="6"/>
      <c r="B420" s="6"/>
      <c r="C420" s="6"/>
    </row>
    <row r="421">
      <c r="A421" s="6"/>
      <c r="B421" s="6"/>
      <c r="C421" s="6"/>
    </row>
    <row r="422">
      <c r="A422" s="6"/>
      <c r="B422" s="6"/>
      <c r="C422" s="6"/>
    </row>
    <row r="423">
      <c r="A423" s="6"/>
      <c r="B423" s="6"/>
      <c r="C423" s="6"/>
    </row>
    <row r="424">
      <c r="A424" s="6"/>
      <c r="B424" s="6"/>
      <c r="C424" s="6"/>
    </row>
    <row r="425">
      <c r="A425" s="6"/>
      <c r="B425" s="6"/>
      <c r="C425" s="6"/>
    </row>
    <row r="426">
      <c r="A426" s="6"/>
      <c r="B426" s="6"/>
      <c r="C426" s="6"/>
    </row>
    <row r="427">
      <c r="A427" s="6"/>
      <c r="B427" s="6"/>
      <c r="C427" s="6"/>
    </row>
    <row r="428">
      <c r="A428" s="6"/>
      <c r="B428" s="6"/>
      <c r="C428" s="6"/>
    </row>
    <row r="429">
      <c r="A429" s="6"/>
      <c r="B429" s="6"/>
      <c r="C429" s="6"/>
    </row>
    <row r="430">
      <c r="A430" s="6"/>
      <c r="B430" s="6"/>
      <c r="C430" s="6"/>
    </row>
    <row r="431">
      <c r="A431" s="6"/>
      <c r="B431" s="6"/>
      <c r="C431" s="6"/>
    </row>
    <row r="432">
      <c r="A432" s="6"/>
      <c r="B432" s="6"/>
      <c r="C432" s="6"/>
    </row>
    <row r="433">
      <c r="A433" s="6"/>
      <c r="B433" s="6"/>
      <c r="C433" s="6"/>
    </row>
    <row r="434">
      <c r="A434" s="6"/>
      <c r="B434" s="6"/>
      <c r="C434" s="6"/>
    </row>
    <row r="435">
      <c r="A435" s="6"/>
      <c r="B435" s="6"/>
      <c r="C435" s="6"/>
    </row>
    <row r="436">
      <c r="A436" s="6"/>
      <c r="B436" s="6"/>
      <c r="C436" s="6"/>
    </row>
    <row r="437">
      <c r="A437" s="6"/>
      <c r="B437" s="6"/>
      <c r="C437" s="6"/>
    </row>
    <row r="438">
      <c r="A438" s="6"/>
      <c r="B438" s="6"/>
      <c r="C438" s="6"/>
    </row>
    <row r="439">
      <c r="A439" s="6"/>
      <c r="B439" s="6"/>
      <c r="C439" s="6"/>
    </row>
    <row r="440">
      <c r="A440" s="6"/>
      <c r="B440" s="6"/>
      <c r="C440" s="6"/>
    </row>
    <row r="441">
      <c r="A441" s="6"/>
      <c r="B441" s="6"/>
      <c r="C441" s="6"/>
    </row>
    <row r="442">
      <c r="A442" s="6"/>
      <c r="B442" s="6"/>
      <c r="C442" s="6"/>
    </row>
    <row r="443">
      <c r="A443" s="6"/>
      <c r="B443" s="6"/>
      <c r="C443" s="6"/>
    </row>
    <row r="444">
      <c r="A444" s="6"/>
      <c r="B444" s="6"/>
      <c r="C444" s="6"/>
    </row>
    <row r="445">
      <c r="A445" s="6"/>
      <c r="B445" s="6"/>
      <c r="C445" s="6"/>
    </row>
    <row r="446">
      <c r="A446" s="6"/>
      <c r="B446" s="6"/>
      <c r="C446" s="6"/>
    </row>
    <row r="447">
      <c r="A447" s="6"/>
      <c r="B447" s="6"/>
      <c r="C447" s="6"/>
    </row>
    <row r="448">
      <c r="A448" s="6"/>
      <c r="B448" s="6"/>
      <c r="C448" s="6"/>
    </row>
    <row r="449">
      <c r="A449" s="6"/>
      <c r="B449" s="6"/>
      <c r="C449" s="6"/>
    </row>
    <row r="450">
      <c r="A450" s="6"/>
      <c r="B450" s="6"/>
      <c r="C450" s="6"/>
    </row>
    <row r="451">
      <c r="A451" s="6"/>
      <c r="B451" s="6"/>
      <c r="C451" s="6"/>
    </row>
    <row r="452">
      <c r="A452" s="6"/>
      <c r="B452" s="6"/>
      <c r="C452" s="6"/>
    </row>
    <row r="453">
      <c r="A453" s="6"/>
      <c r="B453" s="6"/>
      <c r="C453" s="6"/>
    </row>
    <row r="454">
      <c r="A454" s="6"/>
      <c r="B454" s="6"/>
      <c r="C454" s="6"/>
    </row>
    <row r="455">
      <c r="A455" s="6"/>
      <c r="B455" s="6"/>
      <c r="C455" s="6"/>
    </row>
    <row r="456">
      <c r="A456" s="6"/>
      <c r="B456" s="6"/>
      <c r="C456" s="6"/>
    </row>
    <row r="457">
      <c r="A457" s="6"/>
      <c r="B457" s="6"/>
      <c r="C457" s="6"/>
    </row>
    <row r="458">
      <c r="A458" s="6"/>
      <c r="B458" s="6"/>
      <c r="C458" s="6"/>
    </row>
    <row r="459">
      <c r="A459" s="6"/>
      <c r="B459" s="6"/>
      <c r="C459" s="6"/>
    </row>
    <row r="460">
      <c r="A460" s="6"/>
      <c r="B460" s="6"/>
      <c r="C460" s="6"/>
    </row>
    <row r="461">
      <c r="A461" s="6"/>
      <c r="B461" s="6"/>
      <c r="C461" s="6"/>
    </row>
    <row r="462">
      <c r="A462" s="6"/>
      <c r="B462" s="6"/>
      <c r="C462" s="6"/>
    </row>
    <row r="463">
      <c r="A463" s="6"/>
      <c r="B463" s="6"/>
      <c r="C463" s="6"/>
    </row>
    <row r="464">
      <c r="A464" s="6"/>
      <c r="B464" s="6"/>
      <c r="C464" s="6"/>
    </row>
    <row r="465">
      <c r="A465" s="6"/>
      <c r="B465" s="6"/>
      <c r="C465" s="6"/>
    </row>
    <row r="466">
      <c r="A466" s="6"/>
      <c r="B466" s="6"/>
      <c r="C466" s="6"/>
    </row>
    <row r="467">
      <c r="A467" s="6"/>
      <c r="B467" s="6"/>
      <c r="C467" s="6"/>
    </row>
    <row r="468">
      <c r="A468" s="6"/>
      <c r="B468" s="6"/>
      <c r="C468" s="6"/>
    </row>
    <row r="469">
      <c r="A469" s="6"/>
      <c r="B469" s="6"/>
      <c r="C469" s="6"/>
    </row>
    <row r="470">
      <c r="A470" s="6"/>
      <c r="B470" s="6"/>
      <c r="C470" s="6"/>
    </row>
    <row r="471">
      <c r="A471" s="6"/>
      <c r="B471" s="6"/>
      <c r="C471" s="6"/>
    </row>
    <row r="472">
      <c r="A472" s="6"/>
      <c r="B472" s="6"/>
      <c r="C472" s="6"/>
    </row>
    <row r="473">
      <c r="A473" s="6"/>
      <c r="B473" s="6"/>
      <c r="C473" s="6"/>
    </row>
    <row r="474">
      <c r="A474" s="6"/>
      <c r="B474" s="6"/>
      <c r="C474" s="6"/>
    </row>
    <row r="475">
      <c r="A475" s="6"/>
      <c r="B475" s="6"/>
      <c r="C475" s="6"/>
    </row>
    <row r="476">
      <c r="A476" s="6"/>
      <c r="B476" s="6"/>
      <c r="C476" s="6"/>
    </row>
    <row r="477">
      <c r="A477" s="6"/>
      <c r="B477" s="6"/>
      <c r="C477" s="6"/>
    </row>
    <row r="478">
      <c r="A478" s="6"/>
      <c r="B478" s="6"/>
      <c r="C478" s="6"/>
    </row>
    <row r="479">
      <c r="A479" s="6"/>
      <c r="B479" s="6"/>
      <c r="C479" s="6"/>
    </row>
    <row r="480">
      <c r="A480" s="6"/>
      <c r="B480" s="6"/>
      <c r="C480" s="6"/>
    </row>
    <row r="481">
      <c r="A481" s="6"/>
      <c r="B481" s="6"/>
      <c r="C481" s="6"/>
    </row>
    <row r="482">
      <c r="A482" s="6"/>
      <c r="B482" s="6"/>
      <c r="C482" s="6"/>
    </row>
    <row r="483">
      <c r="A483" s="6"/>
      <c r="B483" s="6"/>
      <c r="C483" s="6"/>
    </row>
    <row r="484">
      <c r="A484" s="6"/>
      <c r="B484" s="6"/>
      <c r="C484" s="6"/>
    </row>
    <row r="485">
      <c r="A485" s="6"/>
      <c r="B485" s="6"/>
      <c r="C485" s="6"/>
    </row>
    <row r="486">
      <c r="A486" s="6"/>
      <c r="B486" s="6"/>
      <c r="C486" s="6"/>
    </row>
    <row r="487">
      <c r="A487" s="6"/>
      <c r="B487" s="6"/>
      <c r="C487" s="6"/>
    </row>
    <row r="488">
      <c r="A488" s="6"/>
      <c r="B488" s="6"/>
      <c r="C488" s="6"/>
    </row>
    <row r="489">
      <c r="A489" s="6"/>
      <c r="B489" s="6"/>
      <c r="C489" s="6"/>
    </row>
    <row r="490">
      <c r="A490" s="6"/>
      <c r="B490" s="6"/>
      <c r="C490" s="6"/>
    </row>
    <row r="491">
      <c r="A491" s="6"/>
      <c r="B491" s="6"/>
      <c r="C491" s="6"/>
    </row>
    <row r="492">
      <c r="A492" s="6"/>
      <c r="B492" s="6"/>
      <c r="C492" s="6"/>
    </row>
    <row r="493">
      <c r="A493" s="6"/>
      <c r="B493" s="6"/>
      <c r="C493" s="6"/>
    </row>
    <row r="494">
      <c r="A494" s="6"/>
      <c r="B494" s="6"/>
      <c r="C494" s="6"/>
    </row>
    <row r="495">
      <c r="A495" s="6"/>
      <c r="B495" s="6"/>
      <c r="C495" s="6"/>
    </row>
    <row r="496">
      <c r="A496" s="6"/>
      <c r="B496" s="6"/>
      <c r="C496" s="6"/>
    </row>
    <row r="497">
      <c r="A497" s="6"/>
      <c r="B497" s="6"/>
      <c r="C497" s="6"/>
    </row>
    <row r="498">
      <c r="A498" s="6"/>
      <c r="B498" s="6"/>
      <c r="C498" s="6"/>
    </row>
    <row r="499">
      <c r="A499" s="6"/>
      <c r="B499" s="6"/>
      <c r="C499" s="6"/>
    </row>
    <row r="500">
      <c r="A500" s="6"/>
      <c r="B500" s="6"/>
      <c r="C500" s="6"/>
    </row>
    <row r="501">
      <c r="A501" s="6"/>
      <c r="B501" s="6"/>
      <c r="C501" s="6"/>
    </row>
    <row r="502">
      <c r="A502" s="6"/>
      <c r="B502" s="6"/>
      <c r="C502" s="6"/>
    </row>
    <row r="503">
      <c r="A503" s="6"/>
      <c r="B503" s="6"/>
      <c r="C503" s="6"/>
    </row>
    <row r="504">
      <c r="A504" s="6"/>
      <c r="B504" s="6"/>
      <c r="C504" s="6"/>
    </row>
    <row r="505">
      <c r="A505" s="6"/>
      <c r="B505" s="6"/>
      <c r="C505" s="6"/>
    </row>
    <row r="506">
      <c r="A506" s="6"/>
      <c r="B506" s="6"/>
      <c r="C506" s="6"/>
    </row>
    <row r="507">
      <c r="A507" s="6"/>
      <c r="B507" s="6"/>
      <c r="C507" s="6"/>
    </row>
    <row r="508">
      <c r="A508" s="6"/>
      <c r="B508" s="6"/>
      <c r="C508" s="6"/>
    </row>
    <row r="509">
      <c r="A509" s="6"/>
      <c r="B509" s="6"/>
      <c r="C509" s="6"/>
    </row>
    <row r="510">
      <c r="A510" s="6"/>
      <c r="B510" s="6"/>
      <c r="C510" s="6"/>
    </row>
    <row r="511">
      <c r="A511" s="6"/>
      <c r="B511" s="6"/>
      <c r="C511" s="6"/>
    </row>
    <row r="512">
      <c r="A512" s="6"/>
      <c r="B512" s="6"/>
      <c r="C512" s="6"/>
    </row>
    <row r="513">
      <c r="A513" s="6"/>
      <c r="B513" s="6"/>
      <c r="C513" s="6"/>
    </row>
    <row r="514">
      <c r="A514" s="6"/>
      <c r="B514" s="6"/>
      <c r="C514" s="6"/>
    </row>
    <row r="515">
      <c r="A515" s="6"/>
      <c r="B515" s="6"/>
      <c r="C515" s="6"/>
    </row>
    <row r="516">
      <c r="A516" s="6"/>
      <c r="B516" s="6"/>
      <c r="C516" s="6"/>
    </row>
    <row r="517">
      <c r="A517" s="6"/>
      <c r="B517" s="6"/>
      <c r="C517" s="6"/>
    </row>
    <row r="518">
      <c r="A518" s="6"/>
      <c r="B518" s="6"/>
      <c r="C518" s="6"/>
    </row>
    <row r="519">
      <c r="A519" s="6"/>
      <c r="B519" s="6"/>
      <c r="C519" s="6"/>
    </row>
    <row r="520">
      <c r="A520" s="6"/>
      <c r="B520" s="6"/>
      <c r="C520" s="6"/>
    </row>
    <row r="521">
      <c r="A521" s="6"/>
      <c r="B521" s="6"/>
      <c r="C521" s="6"/>
    </row>
    <row r="522">
      <c r="A522" s="6"/>
      <c r="B522" s="6"/>
      <c r="C522" s="6"/>
    </row>
    <row r="523">
      <c r="A523" s="6"/>
      <c r="B523" s="6"/>
      <c r="C523" s="6"/>
    </row>
    <row r="524">
      <c r="A524" s="6"/>
      <c r="B524" s="6"/>
      <c r="C524" s="6"/>
    </row>
    <row r="525">
      <c r="A525" s="6"/>
      <c r="B525" s="6"/>
      <c r="C525" s="6"/>
    </row>
    <row r="526">
      <c r="A526" s="6"/>
      <c r="B526" s="6"/>
      <c r="C526" s="6"/>
    </row>
    <row r="527">
      <c r="A527" s="6"/>
      <c r="B527" s="6"/>
      <c r="C527" s="6"/>
    </row>
    <row r="528">
      <c r="A528" s="6"/>
      <c r="B528" s="6"/>
      <c r="C528" s="6"/>
    </row>
    <row r="529">
      <c r="A529" s="6"/>
      <c r="B529" s="6"/>
      <c r="C529" s="6"/>
    </row>
    <row r="530">
      <c r="A530" s="6"/>
      <c r="B530" s="6"/>
      <c r="C530" s="6"/>
    </row>
    <row r="531">
      <c r="A531" s="6"/>
      <c r="B531" s="6"/>
      <c r="C531" s="6"/>
    </row>
    <row r="532">
      <c r="A532" s="6"/>
      <c r="B532" s="6"/>
      <c r="C532" s="6"/>
    </row>
    <row r="533">
      <c r="A533" s="6"/>
      <c r="B533" s="6"/>
      <c r="C533" s="6"/>
    </row>
    <row r="534">
      <c r="A534" s="6"/>
      <c r="B534" s="6"/>
      <c r="C534" s="6"/>
    </row>
    <row r="535">
      <c r="A535" s="6"/>
      <c r="B535" s="6"/>
      <c r="C535" s="6"/>
    </row>
    <row r="536">
      <c r="A536" s="6"/>
      <c r="B536" s="6"/>
      <c r="C536" s="6"/>
    </row>
    <row r="537">
      <c r="A537" s="6"/>
      <c r="B537" s="6"/>
      <c r="C537" s="6"/>
    </row>
    <row r="538">
      <c r="A538" s="6"/>
      <c r="B538" s="6"/>
      <c r="C538" s="6"/>
    </row>
    <row r="539">
      <c r="A539" s="6"/>
      <c r="B539" s="6"/>
      <c r="C539" s="6"/>
    </row>
    <row r="540">
      <c r="A540" s="6"/>
      <c r="B540" s="6"/>
      <c r="C540" s="6"/>
    </row>
    <row r="541">
      <c r="A541" s="6"/>
      <c r="B541" s="6"/>
      <c r="C541" s="6"/>
    </row>
    <row r="542">
      <c r="A542" s="6"/>
      <c r="B542" s="6"/>
      <c r="C542" s="6"/>
    </row>
    <row r="543">
      <c r="A543" s="6"/>
      <c r="B543" s="6"/>
      <c r="C543" s="6"/>
    </row>
    <row r="544">
      <c r="A544" s="6"/>
      <c r="B544" s="6"/>
      <c r="C544" s="6"/>
    </row>
    <row r="545">
      <c r="A545" s="6"/>
      <c r="B545" s="6"/>
      <c r="C545" s="6"/>
    </row>
    <row r="546">
      <c r="A546" s="6"/>
      <c r="B546" s="6"/>
      <c r="C546" s="6"/>
    </row>
    <row r="547">
      <c r="A547" s="6"/>
      <c r="B547" s="6"/>
      <c r="C547" s="6"/>
    </row>
    <row r="548">
      <c r="A548" s="6"/>
      <c r="B548" s="6"/>
      <c r="C548" s="6"/>
    </row>
    <row r="549">
      <c r="A549" s="6"/>
      <c r="B549" s="6"/>
      <c r="C549" s="6"/>
    </row>
    <row r="550">
      <c r="A550" s="6"/>
      <c r="B550" s="6"/>
      <c r="C550" s="6"/>
    </row>
    <row r="551">
      <c r="A551" s="6"/>
      <c r="B551" s="6"/>
      <c r="C551" s="6"/>
    </row>
    <row r="552">
      <c r="A552" s="6"/>
      <c r="B552" s="6"/>
      <c r="C552" s="6"/>
    </row>
    <row r="553">
      <c r="A553" s="6"/>
      <c r="B553" s="6"/>
      <c r="C553" s="6"/>
    </row>
    <row r="554">
      <c r="A554" s="6"/>
      <c r="B554" s="6"/>
      <c r="C554" s="6"/>
    </row>
    <row r="555">
      <c r="A555" s="6"/>
      <c r="B555" s="6"/>
      <c r="C555" s="6"/>
    </row>
    <row r="556">
      <c r="A556" s="6"/>
      <c r="B556" s="6"/>
      <c r="C556" s="6"/>
    </row>
    <row r="557">
      <c r="A557" s="6"/>
      <c r="B557" s="6"/>
      <c r="C557" s="6"/>
    </row>
    <row r="558">
      <c r="A558" s="6"/>
      <c r="B558" s="6"/>
      <c r="C558" s="6"/>
    </row>
    <row r="559">
      <c r="A559" s="6"/>
      <c r="B559" s="6"/>
      <c r="C559" s="6"/>
    </row>
    <row r="560">
      <c r="A560" s="6"/>
      <c r="B560" s="6"/>
      <c r="C560" s="6"/>
    </row>
    <row r="561">
      <c r="A561" s="6"/>
      <c r="B561" s="6"/>
      <c r="C561" s="6"/>
    </row>
    <row r="562">
      <c r="A562" s="6"/>
      <c r="B562" s="6"/>
      <c r="C562" s="6"/>
    </row>
    <row r="563">
      <c r="A563" s="6"/>
      <c r="B563" s="6"/>
      <c r="C563" s="6"/>
    </row>
    <row r="564">
      <c r="A564" s="6"/>
      <c r="B564" s="6"/>
      <c r="C564" s="6"/>
    </row>
    <row r="565">
      <c r="A565" s="6"/>
      <c r="B565" s="6"/>
      <c r="C565" s="6"/>
    </row>
    <row r="566">
      <c r="A566" s="6"/>
      <c r="B566" s="6"/>
      <c r="C566" s="6"/>
    </row>
    <row r="567">
      <c r="A567" s="6"/>
      <c r="B567" s="6"/>
      <c r="C567" s="6"/>
    </row>
    <row r="568">
      <c r="A568" s="6"/>
      <c r="B568" s="6"/>
      <c r="C568" s="6"/>
    </row>
    <row r="569">
      <c r="A569" s="6"/>
      <c r="B569" s="6"/>
      <c r="C569" s="6"/>
    </row>
    <row r="570">
      <c r="A570" s="6"/>
      <c r="B570" s="6"/>
      <c r="C570" s="6"/>
    </row>
    <row r="571">
      <c r="A571" s="6"/>
      <c r="B571" s="6"/>
      <c r="C571" s="6"/>
    </row>
    <row r="572">
      <c r="A572" s="6"/>
      <c r="B572" s="6"/>
      <c r="C572" s="6"/>
    </row>
    <row r="573">
      <c r="A573" s="6"/>
      <c r="B573" s="6"/>
      <c r="C573" s="6"/>
    </row>
    <row r="574">
      <c r="A574" s="6"/>
      <c r="B574" s="6"/>
      <c r="C574" s="6"/>
    </row>
    <row r="575">
      <c r="A575" s="6"/>
      <c r="B575" s="6"/>
      <c r="C575" s="6"/>
    </row>
    <row r="576">
      <c r="A576" s="6"/>
      <c r="B576" s="6"/>
      <c r="C576" s="6"/>
    </row>
    <row r="577">
      <c r="A577" s="6"/>
      <c r="B577" s="6"/>
      <c r="C577" s="6"/>
    </row>
    <row r="578">
      <c r="A578" s="6"/>
      <c r="B578" s="6"/>
      <c r="C578" s="6"/>
    </row>
    <row r="579">
      <c r="A579" s="6"/>
      <c r="B579" s="6"/>
      <c r="C579" s="6"/>
    </row>
    <row r="580">
      <c r="A580" s="6"/>
      <c r="B580" s="6"/>
      <c r="C580" s="6"/>
    </row>
    <row r="581">
      <c r="A581" s="6"/>
      <c r="B581" s="6"/>
      <c r="C581" s="6"/>
    </row>
    <row r="582">
      <c r="A582" s="6"/>
      <c r="B582" s="6"/>
      <c r="C582" s="6"/>
    </row>
    <row r="583">
      <c r="A583" s="6"/>
      <c r="B583" s="6"/>
      <c r="C583" s="6"/>
    </row>
    <row r="584">
      <c r="A584" s="6"/>
      <c r="B584" s="6"/>
      <c r="C584" s="6"/>
    </row>
    <row r="585">
      <c r="A585" s="6"/>
      <c r="B585" s="6"/>
      <c r="C585" s="6"/>
    </row>
    <row r="586">
      <c r="A586" s="6"/>
      <c r="B586" s="6"/>
      <c r="C586" s="6"/>
    </row>
    <row r="587">
      <c r="A587" s="6"/>
      <c r="B587" s="6"/>
      <c r="C587" s="6"/>
    </row>
    <row r="588">
      <c r="A588" s="6"/>
      <c r="B588" s="6"/>
      <c r="C588" s="6"/>
    </row>
    <row r="589">
      <c r="A589" s="6"/>
      <c r="B589" s="6"/>
      <c r="C589" s="6"/>
    </row>
    <row r="590">
      <c r="A590" s="6"/>
      <c r="B590" s="6"/>
      <c r="C590" s="6"/>
    </row>
    <row r="591">
      <c r="A591" s="6"/>
      <c r="B591" s="6"/>
      <c r="C591" s="6"/>
    </row>
    <row r="592">
      <c r="A592" s="6"/>
      <c r="B592" s="6"/>
      <c r="C592" s="6"/>
    </row>
    <row r="593">
      <c r="A593" s="6"/>
      <c r="B593" s="6"/>
      <c r="C593" s="6"/>
    </row>
    <row r="594">
      <c r="A594" s="6"/>
      <c r="B594" s="6"/>
      <c r="C594" s="6"/>
    </row>
    <row r="595">
      <c r="A595" s="6"/>
      <c r="B595" s="6"/>
      <c r="C595" s="6"/>
    </row>
    <row r="596">
      <c r="A596" s="6"/>
      <c r="B596" s="6"/>
      <c r="C596" s="6"/>
    </row>
    <row r="597">
      <c r="A597" s="6"/>
      <c r="B597" s="6"/>
      <c r="C597" s="6"/>
    </row>
    <row r="598">
      <c r="A598" s="6"/>
      <c r="B598" s="6"/>
      <c r="C598" s="6"/>
    </row>
    <row r="599">
      <c r="A599" s="6"/>
      <c r="B599" s="6"/>
      <c r="C599" s="6"/>
    </row>
    <row r="600">
      <c r="A600" s="6"/>
      <c r="B600" s="6"/>
      <c r="C600" s="6"/>
    </row>
    <row r="601">
      <c r="A601" s="6"/>
      <c r="B601" s="6"/>
      <c r="C601" s="6"/>
    </row>
    <row r="602">
      <c r="A602" s="6"/>
      <c r="B602" s="6"/>
      <c r="C602" s="6"/>
    </row>
    <row r="603">
      <c r="A603" s="6"/>
      <c r="B603" s="6"/>
      <c r="C603" s="6"/>
    </row>
    <row r="604">
      <c r="A604" s="6"/>
      <c r="B604" s="6"/>
      <c r="C604" s="6"/>
    </row>
    <row r="605">
      <c r="A605" s="6"/>
      <c r="B605" s="6"/>
      <c r="C605" s="6"/>
    </row>
    <row r="606">
      <c r="A606" s="6"/>
      <c r="B606" s="6"/>
      <c r="C606" s="6"/>
    </row>
    <row r="607">
      <c r="A607" s="6"/>
      <c r="B607" s="6"/>
      <c r="C607" s="6"/>
    </row>
    <row r="608">
      <c r="A608" s="6"/>
      <c r="B608" s="6"/>
      <c r="C608" s="6"/>
    </row>
    <row r="609">
      <c r="A609" s="6"/>
      <c r="B609" s="6"/>
      <c r="C609" s="6"/>
    </row>
    <row r="610">
      <c r="A610" s="6"/>
      <c r="B610" s="6"/>
      <c r="C610" s="6"/>
    </row>
    <row r="611">
      <c r="A611" s="6"/>
      <c r="B611" s="6"/>
      <c r="C611" s="6"/>
    </row>
    <row r="612">
      <c r="A612" s="6"/>
      <c r="B612" s="6"/>
      <c r="C612" s="6"/>
    </row>
    <row r="613">
      <c r="A613" s="6"/>
      <c r="B613" s="6"/>
      <c r="C613" s="6"/>
    </row>
    <row r="614">
      <c r="A614" s="6"/>
      <c r="B614" s="6"/>
      <c r="C614" s="6"/>
    </row>
    <row r="615">
      <c r="A615" s="6"/>
      <c r="B615" s="6"/>
      <c r="C615" s="6"/>
    </row>
    <row r="616">
      <c r="A616" s="6"/>
      <c r="B616" s="6"/>
      <c r="C616" s="6"/>
    </row>
    <row r="617">
      <c r="A617" s="6"/>
      <c r="B617" s="6"/>
      <c r="C617" s="6"/>
    </row>
    <row r="618">
      <c r="A618" s="6"/>
      <c r="B618" s="6"/>
      <c r="C618" s="6"/>
    </row>
    <row r="619">
      <c r="A619" s="6"/>
      <c r="B619" s="6"/>
      <c r="C619" s="6"/>
    </row>
    <row r="620">
      <c r="A620" s="6"/>
      <c r="B620" s="6"/>
      <c r="C620" s="6"/>
    </row>
    <row r="621">
      <c r="A621" s="6"/>
      <c r="B621" s="6"/>
      <c r="C621" s="6"/>
    </row>
    <row r="622">
      <c r="A622" s="6"/>
      <c r="B622" s="6"/>
      <c r="C622" s="6"/>
    </row>
    <row r="623">
      <c r="A623" s="6"/>
      <c r="B623" s="6"/>
      <c r="C623" s="6"/>
    </row>
    <row r="624">
      <c r="A624" s="6"/>
      <c r="B624" s="6"/>
      <c r="C624" s="6"/>
    </row>
    <row r="625">
      <c r="A625" s="6"/>
      <c r="B625" s="6"/>
      <c r="C625" s="6"/>
    </row>
    <row r="626">
      <c r="A626" s="6"/>
      <c r="B626" s="6"/>
      <c r="C626" s="6"/>
    </row>
    <row r="627">
      <c r="A627" s="6"/>
      <c r="B627" s="6"/>
      <c r="C627" s="6"/>
    </row>
    <row r="628">
      <c r="A628" s="6"/>
      <c r="B628" s="6"/>
      <c r="C628" s="6"/>
    </row>
    <row r="629">
      <c r="A629" s="6"/>
      <c r="B629" s="6"/>
      <c r="C629" s="6"/>
    </row>
    <row r="630">
      <c r="A630" s="6"/>
      <c r="B630" s="6"/>
      <c r="C630" s="6"/>
    </row>
    <row r="631">
      <c r="A631" s="6"/>
      <c r="B631" s="6"/>
      <c r="C631" s="6"/>
    </row>
    <row r="632">
      <c r="A632" s="6"/>
      <c r="B632" s="6"/>
      <c r="C632" s="6"/>
    </row>
    <row r="633">
      <c r="A633" s="6"/>
      <c r="B633" s="6"/>
      <c r="C633" s="6"/>
    </row>
    <row r="634">
      <c r="A634" s="6"/>
      <c r="B634" s="6"/>
      <c r="C634" s="6"/>
    </row>
    <row r="635">
      <c r="A635" s="6"/>
      <c r="B635" s="6"/>
      <c r="C635" s="6"/>
    </row>
    <row r="636">
      <c r="A636" s="6"/>
      <c r="B636" s="6"/>
      <c r="C636" s="6"/>
    </row>
    <row r="637">
      <c r="A637" s="6"/>
      <c r="B637" s="6"/>
      <c r="C637" s="6"/>
    </row>
    <row r="638">
      <c r="A638" s="6"/>
      <c r="B638" s="6"/>
      <c r="C638" s="6"/>
    </row>
    <row r="639">
      <c r="A639" s="6"/>
      <c r="B639" s="6"/>
      <c r="C639" s="6"/>
    </row>
    <row r="640">
      <c r="A640" s="6"/>
      <c r="B640" s="6"/>
      <c r="C640" s="6"/>
    </row>
    <row r="641">
      <c r="A641" s="6"/>
      <c r="B641" s="6"/>
      <c r="C641" s="6"/>
    </row>
    <row r="642">
      <c r="A642" s="6"/>
      <c r="B642" s="6"/>
      <c r="C642" s="6"/>
    </row>
    <row r="643">
      <c r="A643" s="6"/>
      <c r="B643" s="6"/>
      <c r="C643" s="6"/>
    </row>
    <row r="644">
      <c r="A644" s="6"/>
      <c r="B644" s="6"/>
      <c r="C644" s="6"/>
    </row>
    <row r="645">
      <c r="A645" s="6"/>
      <c r="B645" s="6"/>
      <c r="C645" s="6"/>
    </row>
    <row r="646">
      <c r="A646" s="6"/>
      <c r="B646" s="6"/>
      <c r="C646" s="6"/>
    </row>
    <row r="647">
      <c r="A647" s="6"/>
      <c r="B647" s="6"/>
      <c r="C647" s="6"/>
    </row>
    <row r="648">
      <c r="A648" s="6"/>
      <c r="B648" s="6"/>
      <c r="C648" s="6"/>
    </row>
    <row r="649">
      <c r="A649" s="6"/>
      <c r="B649" s="6"/>
      <c r="C649" s="6"/>
    </row>
    <row r="650">
      <c r="A650" s="6"/>
      <c r="B650" s="6"/>
      <c r="C650" s="6"/>
    </row>
    <row r="651">
      <c r="A651" s="6"/>
      <c r="B651" s="6"/>
      <c r="C651" s="6"/>
    </row>
    <row r="652">
      <c r="A652" s="6"/>
      <c r="B652" s="6"/>
      <c r="C652" s="6"/>
    </row>
    <row r="653">
      <c r="A653" s="6"/>
      <c r="B653" s="6"/>
      <c r="C653" s="6"/>
    </row>
    <row r="654">
      <c r="A654" s="6"/>
      <c r="B654" s="6"/>
      <c r="C654" s="6"/>
    </row>
    <row r="655">
      <c r="A655" s="6"/>
      <c r="B655" s="6"/>
      <c r="C655" s="6"/>
    </row>
    <row r="656">
      <c r="A656" s="6"/>
      <c r="B656" s="6"/>
      <c r="C656" s="6"/>
    </row>
    <row r="657">
      <c r="A657" s="6"/>
      <c r="B657" s="6"/>
      <c r="C657" s="6"/>
    </row>
    <row r="658">
      <c r="A658" s="6"/>
      <c r="B658" s="6"/>
      <c r="C658" s="6"/>
    </row>
    <row r="659">
      <c r="A659" s="6"/>
      <c r="B659" s="6"/>
      <c r="C659" s="6"/>
    </row>
    <row r="660">
      <c r="A660" s="6"/>
      <c r="B660" s="6"/>
      <c r="C660" s="6"/>
    </row>
    <row r="661">
      <c r="A661" s="6"/>
      <c r="B661" s="6"/>
      <c r="C661" s="6"/>
    </row>
    <row r="662">
      <c r="A662" s="6"/>
      <c r="B662" s="6"/>
      <c r="C662" s="6"/>
    </row>
    <row r="663">
      <c r="A663" s="6"/>
      <c r="B663" s="6"/>
      <c r="C663" s="6"/>
    </row>
    <row r="664">
      <c r="A664" s="6"/>
      <c r="B664" s="6"/>
      <c r="C664" s="6"/>
    </row>
    <row r="665">
      <c r="A665" s="6"/>
      <c r="B665" s="6"/>
      <c r="C665" s="6"/>
    </row>
    <row r="666">
      <c r="A666" s="6"/>
      <c r="B666" s="6"/>
      <c r="C666" s="6"/>
    </row>
    <row r="667">
      <c r="A667" s="6"/>
      <c r="B667" s="6"/>
      <c r="C667" s="6"/>
    </row>
    <row r="668">
      <c r="A668" s="6"/>
      <c r="B668" s="6"/>
      <c r="C668" s="6"/>
    </row>
    <row r="669">
      <c r="A669" s="6"/>
      <c r="B669" s="6"/>
      <c r="C669" s="6"/>
    </row>
    <row r="670">
      <c r="A670" s="6"/>
      <c r="B670" s="6"/>
      <c r="C670" s="6"/>
    </row>
    <row r="671">
      <c r="A671" s="6"/>
      <c r="B671" s="6"/>
      <c r="C671" s="6"/>
    </row>
    <row r="672">
      <c r="A672" s="6"/>
      <c r="B672" s="6"/>
      <c r="C672" s="6"/>
    </row>
    <row r="673">
      <c r="A673" s="6"/>
      <c r="B673" s="6"/>
      <c r="C673" s="6"/>
    </row>
    <row r="674">
      <c r="A674" s="6"/>
      <c r="B674" s="6"/>
      <c r="C674" s="6"/>
    </row>
    <row r="675">
      <c r="A675" s="6"/>
      <c r="B675" s="6"/>
      <c r="C675" s="6"/>
    </row>
    <row r="676">
      <c r="A676" s="6"/>
      <c r="B676" s="6"/>
      <c r="C676" s="6"/>
    </row>
    <row r="677">
      <c r="A677" s="6"/>
      <c r="B677" s="6"/>
      <c r="C677" s="6"/>
    </row>
    <row r="678">
      <c r="A678" s="6"/>
      <c r="B678" s="6"/>
      <c r="C678" s="6"/>
    </row>
    <row r="679">
      <c r="A679" s="6"/>
      <c r="B679" s="6"/>
      <c r="C679" s="6"/>
    </row>
    <row r="680">
      <c r="A680" s="6"/>
      <c r="B680" s="6"/>
      <c r="C680" s="6"/>
    </row>
    <row r="681">
      <c r="A681" s="6"/>
      <c r="B681" s="6"/>
      <c r="C681" s="6"/>
    </row>
    <row r="682">
      <c r="A682" s="6"/>
      <c r="B682" s="6"/>
      <c r="C682" s="6"/>
    </row>
    <row r="683">
      <c r="A683" s="6"/>
      <c r="B683" s="6"/>
      <c r="C683" s="6"/>
    </row>
    <row r="684">
      <c r="A684" s="6"/>
      <c r="B684" s="6"/>
      <c r="C684" s="6"/>
    </row>
    <row r="685">
      <c r="A685" s="6"/>
      <c r="B685" s="6"/>
      <c r="C685" s="6"/>
    </row>
    <row r="686">
      <c r="A686" s="6"/>
      <c r="B686" s="6"/>
      <c r="C686" s="6"/>
    </row>
    <row r="687">
      <c r="A687" s="6"/>
      <c r="B687" s="6"/>
      <c r="C687" s="6"/>
    </row>
    <row r="688">
      <c r="A688" s="6"/>
      <c r="B688" s="6"/>
      <c r="C688" s="6"/>
    </row>
    <row r="689">
      <c r="A689" s="6"/>
      <c r="B689" s="6"/>
      <c r="C689" s="6"/>
    </row>
    <row r="690">
      <c r="A690" s="6"/>
      <c r="B690" s="6"/>
      <c r="C690" s="6"/>
    </row>
    <row r="691">
      <c r="A691" s="6"/>
      <c r="B691" s="6"/>
      <c r="C691" s="6"/>
    </row>
    <row r="692">
      <c r="A692" s="6"/>
      <c r="B692" s="6"/>
      <c r="C692" s="6"/>
    </row>
    <row r="693">
      <c r="A693" s="6"/>
      <c r="B693" s="6"/>
      <c r="C693" s="6"/>
    </row>
    <row r="694">
      <c r="A694" s="6"/>
      <c r="B694" s="6"/>
      <c r="C694" s="6"/>
    </row>
    <row r="695">
      <c r="A695" s="6"/>
      <c r="B695" s="6"/>
      <c r="C695" s="6"/>
    </row>
    <row r="696">
      <c r="A696" s="6"/>
      <c r="B696" s="6"/>
      <c r="C696" s="6"/>
    </row>
    <row r="697">
      <c r="A697" s="6"/>
      <c r="B697" s="6"/>
      <c r="C697" s="6"/>
    </row>
    <row r="698">
      <c r="A698" s="6"/>
      <c r="B698" s="6"/>
      <c r="C698" s="6"/>
    </row>
    <row r="699">
      <c r="A699" s="6"/>
      <c r="B699" s="6"/>
      <c r="C699" s="6"/>
    </row>
    <row r="700">
      <c r="A700" s="6"/>
      <c r="B700" s="6"/>
      <c r="C700" s="6"/>
    </row>
    <row r="701">
      <c r="A701" s="6"/>
      <c r="B701" s="6"/>
      <c r="C701" s="6"/>
    </row>
    <row r="702">
      <c r="A702" s="6"/>
      <c r="B702" s="6"/>
      <c r="C702" s="6"/>
    </row>
    <row r="703">
      <c r="A703" s="6"/>
      <c r="B703" s="6"/>
      <c r="C703" s="6"/>
    </row>
    <row r="704">
      <c r="A704" s="6"/>
      <c r="B704" s="6"/>
      <c r="C704" s="6"/>
    </row>
    <row r="705">
      <c r="A705" s="6"/>
      <c r="B705" s="6"/>
      <c r="C705" s="6"/>
    </row>
    <row r="706">
      <c r="A706" s="6"/>
      <c r="B706" s="6"/>
      <c r="C706" s="6"/>
    </row>
    <row r="707">
      <c r="A707" s="6"/>
      <c r="B707" s="6"/>
      <c r="C707" s="6"/>
    </row>
    <row r="708">
      <c r="A708" s="6"/>
      <c r="B708" s="6"/>
      <c r="C708" s="6"/>
    </row>
    <row r="709">
      <c r="A709" s="6"/>
      <c r="B709" s="6"/>
      <c r="C709" s="6"/>
    </row>
    <row r="710">
      <c r="A710" s="6"/>
      <c r="B710" s="6"/>
      <c r="C710" s="6"/>
    </row>
    <row r="711">
      <c r="A711" s="6"/>
      <c r="B711" s="6"/>
      <c r="C711" s="6"/>
    </row>
    <row r="712">
      <c r="A712" s="6"/>
      <c r="B712" s="6"/>
      <c r="C712" s="6"/>
    </row>
    <row r="713">
      <c r="A713" s="6"/>
      <c r="B713" s="6"/>
      <c r="C713" s="6"/>
    </row>
    <row r="714">
      <c r="A714" s="6"/>
      <c r="B714" s="6"/>
      <c r="C714" s="6"/>
    </row>
    <row r="715">
      <c r="A715" s="6"/>
      <c r="B715" s="6"/>
      <c r="C715" s="6"/>
    </row>
    <row r="716">
      <c r="A716" s="6"/>
      <c r="B716" s="6"/>
      <c r="C716" s="6"/>
    </row>
    <row r="717">
      <c r="A717" s="6"/>
      <c r="B717" s="6"/>
      <c r="C717" s="6"/>
    </row>
    <row r="718">
      <c r="A718" s="6"/>
      <c r="B718" s="6"/>
      <c r="C718" s="6"/>
    </row>
    <row r="719">
      <c r="A719" s="6"/>
      <c r="B719" s="6"/>
      <c r="C719" s="6"/>
    </row>
    <row r="720">
      <c r="A720" s="6"/>
      <c r="B720" s="6"/>
      <c r="C720" s="6"/>
    </row>
    <row r="721">
      <c r="A721" s="6"/>
      <c r="B721" s="6"/>
      <c r="C721" s="6"/>
    </row>
    <row r="722">
      <c r="A722" s="6"/>
      <c r="B722" s="6"/>
      <c r="C722" s="6"/>
    </row>
    <row r="723">
      <c r="A723" s="6"/>
      <c r="B723" s="6"/>
      <c r="C723" s="6"/>
    </row>
    <row r="724">
      <c r="A724" s="6"/>
      <c r="B724" s="6"/>
      <c r="C724" s="6"/>
    </row>
    <row r="725">
      <c r="A725" s="6"/>
      <c r="B725" s="6"/>
      <c r="C725" s="6"/>
    </row>
    <row r="726">
      <c r="A726" s="6"/>
      <c r="B726" s="6"/>
      <c r="C726" s="6"/>
    </row>
    <row r="727">
      <c r="A727" s="6"/>
      <c r="B727" s="6"/>
      <c r="C727" s="6"/>
    </row>
    <row r="728">
      <c r="A728" s="6"/>
      <c r="B728" s="6"/>
      <c r="C728" s="6"/>
    </row>
    <row r="729">
      <c r="A729" s="6"/>
      <c r="B729" s="6"/>
      <c r="C729" s="6"/>
    </row>
    <row r="730">
      <c r="A730" s="6"/>
      <c r="B730" s="6"/>
      <c r="C730" s="6"/>
    </row>
    <row r="731">
      <c r="A731" s="6"/>
      <c r="B731" s="6"/>
      <c r="C731" s="6"/>
    </row>
    <row r="732">
      <c r="A732" s="6"/>
      <c r="B732" s="6"/>
      <c r="C732" s="6"/>
    </row>
    <row r="733">
      <c r="A733" s="6"/>
      <c r="B733" s="6"/>
      <c r="C733" s="6"/>
    </row>
    <row r="734">
      <c r="A734" s="6"/>
      <c r="B734" s="6"/>
      <c r="C734" s="6"/>
    </row>
    <row r="735">
      <c r="A735" s="6"/>
      <c r="B735" s="6"/>
      <c r="C735" s="6"/>
    </row>
    <row r="736">
      <c r="A736" s="6"/>
      <c r="B736" s="6"/>
      <c r="C736" s="6"/>
    </row>
    <row r="737">
      <c r="A737" s="6"/>
      <c r="B737" s="6"/>
      <c r="C737" s="6"/>
    </row>
    <row r="738">
      <c r="A738" s="6"/>
      <c r="B738" s="6"/>
      <c r="C738" s="6"/>
    </row>
    <row r="739">
      <c r="A739" s="6"/>
      <c r="B739" s="6"/>
      <c r="C739" s="6"/>
    </row>
    <row r="740">
      <c r="A740" s="6"/>
      <c r="B740" s="6"/>
      <c r="C740" s="6"/>
    </row>
    <row r="741">
      <c r="A741" s="6"/>
      <c r="B741" s="6"/>
      <c r="C741" s="6"/>
    </row>
    <row r="742">
      <c r="A742" s="6"/>
      <c r="B742" s="6"/>
      <c r="C742" s="6"/>
    </row>
    <row r="743">
      <c r="A743" s="6"/>
      <c r="B743" s="6"/>
      <c r="C743" s="6"/>
    </row>
    <row r="744">
      <c r="A744" s="6"/>
      <c r="B744" s="6"/>
      <c r="C744" s="6"/>
    </row>
    <row r="745">
      <c r="A745" s="6"/>
      <c r="B745" s="6"/>
      <c r="C745" s="6"/>
    </row>
    <row r="746">
      <c r="A746" s="6"/>
      <c r="B746" s="6"/>
      <c r="C746" s="6"/>
    </row>
    <row r="747">
      <c r="A747" s="6"/>
      <c r="B747" s="6"/>
      <c r="C747" s="6"/>
    </row>
    <row r="748">
      <c r="A748" s="6"/>
      <c r="B748" s="6"/>
      <c r="C748" s="6"/>
    </row>
    <row r="749">
      <c r="A749" s="6"/>
      <c r="B749" s="6"/>
      <c r="C749" s="6"/>
    </row>
    <row r="750">
      <c r="A750" s="6"/>
      <c r="B750" s="6"/>
      <c r="C750" s="6"/>
    </row>
    <row r="751">
      <c r="A751" s="6"/>
      <c r="B751" s="6"/>
      <c r="C751" s="6"/>
    </row>
    <row r="752">
      <c r="A752" s="6"/>
      <c r="B752" s="6"/>
      <c r="C752" s="6"/>
    </row>
    <row r="753">
      <c r="A753" s="6"/>
      <c r="B753" s="6"/>
      <c r="C753" s="6"/>
    </row>
    <row r="754">
      <c r="A754" s="6"/>
      <c r="B754" s="6"/>
      <c r="C754" s="6"/>
    </row>
    <row r="755">
      <c r="A755" s="6"/>
      <c r="B755" s="6"/>
      <c r="C755" s="6"/>
    </row>
    <row r="756">
      <c r="A756" s="6"/>
      <c r="B756" s="6"/>
      <c r="C756" s="6"/>
    </row>
    <row r="757">
      <c r="A757" s="6"/>
      <c r="B757" s="6"/>
      <c r="C757" s="6"/>
    </row>
    <row r="758">
      <c r="A758" s="6"/>
      <c r="B758" s="6"/>
      <c r="C758" s="6"/>
    </row>
    <row r="759">
      <c r="A759" s="6"/>
      <c r="B759" s="6"/>
      <c r="C759" s="6"/>
    </row>
    <row r="760">
      <c r="A760" s="6"/>
      <c r="B760" s="6"/>
      <c r="C760" s="6"/>
    </row>
    <row r="761">
      <c r="A761" s="6"/>
      <c r="B761" s="6"/>
      <c r="C761" s="6"/>
    </row>
    <row r="762">
      <c r="A762" s="6"/>
      <c r="B762" s="6"/>
      <c r="C762" s="6"/>
    </row>
    <row r="763">
      <c r="A763" s="6"/>
      <c r="B763" s="6"/>
      <c r="C763" s="6"/>
    </row>
    <row r="764">
      <c r="A764" s="6"/>
      <c r="B764" s="6"/>
      <c r="C764" s="6"/>
    </row>
    <row r="765">
      <c r="A765" s="6"/>
      <c r="B765" s="6"/>
      <c r="C765" s="6"/>
    </row>
    <row r="766">
      <c r="A766" s="6"/>
      <c r="B766" s="6"/>
      <c r="C766" s="6"/>
    </row>
    <row r="767">
      <c r="A767" s="6"/>
      <c r="B767" s="6"/>
      <c r="C767" s="6"/>
    </row>
    <row r="768">
      <c r="A768" s="6"/>
      <c r="B768" s="6"/>
      <c r="C768" s="6"/>
    </row>
    <row r="769">
      <c r="A769" s="6"/>
      <c r="B769" s="6"/>
      <c r="C769" s="6"/>
    </row>
    <row r="770">
      <c r="A770" s="6"/>
      <c r="B770" s="6"/>
      <c r="C770" s="6"/>
    </row>
    <row r="771">
      <c r="A771" s="6"/>
      <c r="B771" s="6"/>
      <c r="C771" s="6"/>
    </row>
    <row r="772">
      <c r="A772" s="6"/>
      <c r="B772" s="6"/>
      <c r="C772" s="6"/>
    </row>
    <row r="773">
      <c r="A773" s="6"/>
      <c r="B773" s="6"/>
      <c r="C773" s="6"/>
    </row>
    <row r="774">
      <c r="A774" s="6"/>
      <c r="B774" s="6"/>
      <c r="C774" s="6"/>
    </row>
    <row r="775">
      <c r="A775" s="6"/>
      <c r="B775" s="6"/>
      <c r="C775" s="6"/>
    </row>
    <row r="776">
      <c r="A776" s="6"/>
      <c r="B776" s="6"/>
      <c r="C776" s="6"/>
    </row>
    <row r="777">
      <c r="A777" s="6"/>
      <c r="B777" s="6"/>
      <c r="C777" s="6"/>
    </row>
    <row r="778">
      <c r="A778" s="6"/>
      <c r="B778" s="6"/>
      <c r="C778" s="6"/>
    </row>
    <row r="779">
      <c r="A779" s="6"/>
      <c r="B779" s="6"/>
      <c r="C779" s="6"/>
    </row>
    <row r="780">
      <c r="A780" s="6"/>
      <c r="B780" s="6"/>
      <c r="C780" s="6"/>
    </row>
    <row r="781">
      <c r="A781" s="6"/>
      <c r="B781" s="6"/>
      <c r="C781" s="6"/>
    </row>
    <row r="782">
      <c r="A782" s="6"/>
      <c r="B782" s="6"/>
      <c r="C782" s="6"/>
    </row>
    <row r="783">
      <c r="A783" s="6"/>
      <c r="B783" s="6"/>
      <c r="C783" s="6"/>
    </row>
    <row r="784">
      <c r="A784" s="6"/>
      <c r="B784" s="6"/>
      <c r="C784" s="6"/>
    </row>
    <row r="785">
      <c r="A785" s="6"/>
      <c r="B785" s="6"/>
      <c r="C785" s="6"/>
    </row>
    <row r="786">
      <c r="A786" s="6"/>
      <c r="B786" s="6"/>
      <c r="C786" s="6"/>
    </row>
    <row r="787">
      <c r="A787" s="6"/>
      <c r="B787" s="6"/>
      <c r="C787" s="6"/>
    </row>
    <row r="788">
      <c r="A788" s="6"/>
      <c r="B788" s="6"/>
      <c r="C788" s="6"/>
    </row>
    <row r="789">
      <c r="A789" s="6"/>
      <c r="B789" s="6"/>
      <c r="C789" s="6"/>
    </row>
    <row r="790">
      <c r="A790" s="6"/>
      <c r="B790" s="6"/>
      <c r="C790" s="6"/>
    </row>
    <row r="791">
      <c r="A791" s="6"/>
      <c r="B791" s="6"/>
      <c r="C791" s="6"/>
    </row>
    <row r="792">
      <c r="A792" s="6"/>
      <c r="B792" s="6"/>
      <c r="C792" s="6"/>
    </row>
    <row r="793">
      <c r="A793" s="6"/>
      <c r="B793" s="6"/>
      <c r="C793" s="6"/>
    </row>
    <row r="794">
      <c r="A794" s="6"/>
      <c r="B794" s="6"/>
      <c r="C794" s="6"/>
    </row>
    <row r="795">
      <c r="A795" s="6"/>
      <c r="B795" s="6"/>
      <c r="C795" s="6"/>
    </row>
    <row r="796">
      <c r="A796" s="6"/>
      <c r="B796" s="6"/>
      <c r="C796" s="6"/>
    </row>
    <row r="797">
      <c r="A797" s="6"/>
      <c r="B797" s="6"/>
      <c r="C797" s="6"/>
    </row>
    <row r="798">
      <c r="A798" s="6"/>
      <c r="B798" s="6"/>
      <c r="C798" s="6"/>
    </row>
    <row r="799">
      <c r="A799" s="6"/>
      <c r="B799" s="6"/>
      <c r="C799" s="6"/>
    </row>
    <row r="800">
      <c r="A800" s="6"/>
      <c r="B800" s="6"/>
      <c r="C800" s="6"/>
    </row>
    <row r="801">
      <c r="A801" s="6"/>
      <c r="B801" s="6"/>
      <c r="C801" s="6"/>
    </row>
    <row r="802">
      <c r="A802" s="6"/>
      <c r="B802" s="6"/>
      <c r="C802" s="6"/>
    </row>
    <row r="803">
      <c r="A803" s="6"/>
      <c r="B803" s="6"/>
      <c r="C803" s="6"/>
    </row>
    <row r="804">
      <c r="A804" s="6"/>
      <c r="B804" s="6"/>
      <c r="C804" s="6"/>
    </row>
    <row r="805">
      <c r="A805" s="6"/>
      <c r="B805" s="6"/>
      <c r="C805" s="6"/>
    </row>
    <row r="806">
      <c r="A806" s="6"/>
      <c r="B806" s="6"/>
      <c r="C806" s="6"/>
    </row>
    <row r="807">
      <c r="A807" s="6"/>
      <c r="B807" s="6"/>
      <c r="C807" s="6"/>
    </row>
    <row r="808">
      <c r="A808" s="6"/>
      <c r="B808" s="6"/>
      <c r="C808" s="6"/>
    </row>
    <row r="809">
      <c r="A809" s="6"/>
      <c r="B809" s="6"/>
      <c r="C809" s="6"/>
    </row>
    <row r="810">
      <c r="A810" s="6"/>
      <c r="B810" s="6"/>
      <c r="C810" s="6"/>
    </row>
    <row r="811">
      <c r="A811" s="6"/>
      <c r="B811" s="6"/>
      <c r="C811" s="6"/>
    </row>
    <row r="812">
      <c r="A812" s="6"/>
      <c r="B812" s="6"/>
      <c r="C812" s="6"/>
    </row>
    <row r="813">
      <c r="A813" s="6"/>
      <c r="B813" s="6"/>
      <c r="C813" s="6"/>
    </row>
    <row r="814">
      <c r="A814" s="6"/>
      <c r="B814" s="6"/>
      <c r="C814" s="6"/>
    </row>
    <row r="815">
      <c r="A815" s="6"/>
      <c r="B815" s="6"/>
      <c r="C815" s="6"/>
    </row>
    <row r="816">
      <c r="A816" s="6"/>
      <c r="B816" s="6"/>
      <c r="C816" s="6"/>
    </row>
    <row r="817">
      <c r="A817" s="6"/>
      <c r="B817" s="6"/>
      <c r="C817" s="6"/>
    </row>
    <row r="818">
      <c r="A818" s="6"/>
      <c r="B818" s="6"/>
      <c r="C818" s="6"/>
    </row>
    <row r="819">
      <c r="A819" s="6"/>
      <c r="B819" s="6"/>
      <c r="C819" s="6"/>
    </row>
    <row r="820">
      <c r="A820" s="6"/>
      <c r="B820" s="6"/>
      <c r="C820" s="6"/>
    </row>
    <row r="821">
      <c r="A821" s="6"/>
      <c r="B821" s="6"/>
      <c r="C821" s="6"/>
    </row>
    <row r="822">
      <c r="A822" s="6"/>
      <c r="B822" s="6"/>
      <c r="C822" s="6"/>
    </row>
    <row r="823">
      <c r="A823" s="6"/>
      <c r="B823" s="6"/>
      <c r="C823" s="6"/>
    </row>
    <row r="824">
      <c r="A824" s="6"/>
      <c r="B824" s="6"/>
      <c r="C824" s="6"/>
    </row>
    <row r="825">
      <c r="A825" s="6"/>
      <c r="B825" s="6"/>
      <c r="C825" s="6"/>
    </row>
    <row r="826">
      <c r="A826" s="6"/>
      <c r="B826" s="6"/>
      <c r="C826" s="6"/>
    </row>
    <row r="827">
      <c r="A827" s="6"/>
      <c r="B827" s="6"/>
      <c r="C827" s="6"/>
    </row>
    <row r="828">
      <c r="A828" s="6"/>
      <c r="B828" s="6"/>
      <c r="C828" s="6"/>
    </row>
    <row r="829">
      <c r="A829" s="6"/>
      <c r="B829" s="6"/>
      <c r="C829" s="6"/>
    </row>
    <row r="830">
      <c r="A830" s="6"/>
      <c r="B830" s="6"/>
      <c r="C830" s="6"/>
    </row>
    <row r="831">
      <c r="A831" s="6"/>
      <c r="B831" s="6"/>
      <c r="C831" s="6"/>
    </row>
    <row r="832">
      <c r="A832" s="6"/>
      <c r="B832" s="6"/>
      <c r="C832" s="6"/>
    </row>
    <row r="833">
      <c r="A833" s="6"/>
      <c r="B833" s="6"/>
      <c r="C833" s="6"/>
    </row>
    <row r="834">
      <c r="A834" s="6"/>
      <c r="B834" s="6"/>
      <c r="C834" s="6"/>
    </row>
    <row r="835">
      <c r="A835" s="6"/>
      <c r="B835" s="6"/>
      <c r="C835" s="6"/>
    </row>
    <row r="836">
      <c r="A836" s="6"/>
      <c r="B836" s="6"/>
      <c r="C836" s="6"/>
    </row>
    <row r="837">
      <c r="A837" s="6"/>
      <c r="B837" s="6"/>
      <c r="C837" s="6"/>
    </row>
    <row r="838">
      <c r="A838" s="6"/>
      <c r="B838" s="6"/>
      <c r="C838" s="6"/>
    </row>
    <row r="839">
      <c r="A839" s="6"/>
      <c r="B839" s="6"/>
      <c r="C839" s="6"/>
    </row>
    <row r="840">
      <c r="A840" s="6"/>
      <c r="B840" s="6"/>
      <c r="C840" s="6"/>
    </row>
    <row r="841">
      <c r="A841" s="6"/>
      <c r="B841" s="6"/>
      <c r="C841" s="6"/>
    </row>
    <row r="842">
      <c r="A842" s="6"/>
      <c r="B842" s="6"/>
      <c r="C842" s="6"/>
    </row>
    <row r="843">
      <c r="A843" s="6"/>
      <c r="B843" s="6"/>
      <c r="C843" s="6"/>
    </row>
    <row r="844">
      <c r="A844" s="6"/>
      <c r="B844" s="6"/>
      <c r="C844" s="6"/>
    </row>
    <row r="845">
      <c r="A845" s="6"/>
      <c r="B845" s="6"/>
      <c r="C845" s="6"/>
    </row>
    <row r="846">
      <c r="A846" s="6"/>
      <c r="B846" s="6"/>
      <c r="C846" s="6"/>
    </row>
    <row r="847">
      <c r="A847" s="6"/>
      <c r="B847" s="6"/>
      <c r="C847" s="6"/>
    </row>
    <row r="848">
      <c r="A848" s="6"/>
      <c r="B848" s="6"/>
      <c r="C848" s="6"/>
    </row>
    <row r="849">
      <c r="A849" s="6"/>
      <c r="B849" s="6"/>
      <c r="C849" s="6"/>
    </row>
    <row r="850">
      <c r="A850" s="6"/>
      <c r="B850" s="6"/>
      <c r="C850" s="6"/>
    </row>
    <row r="851">
      <c r="A851" s="6"/>
      <c r="B851" s="6"/>
      <c r="C851" s="6"/>
    </row>
    <row r="852">
      <c r="A852" s="6"/>
      <c r="B852" s="6"/>
      <c r="C852" s="6"/>
    </row>
    <row r="853">
      <c r="A853" s="6"/>
      <c r="B853" s="6"/>
      <c r="C853" s="6"/>
    </row>
    <row r="854">
      <c r="A854" s="6"/>
      <c r="B854" s="6"/>
      <c r="C854" s="6"/>
    </row>
    <row r="855">
      <c r="A855" s="6"/>
      <c r="B855" s="6"/>
      <c r="C855" s="6"/>
    </row>
    <row r="856">
      <c r="A856" s="6"/>
      <c r="B856" s="6"/>
      <c r="C856" s="6"/>
    </row>
    <row r="857">
      <c r="A857" s="6"/>
      <c r="B857" s="6"/>
      <c r="C857" s="6"/>
    </row>
    <row r="858">
      <c r="A858" s="6"/>
      <c r="B858" s="6"/>
      <c r="C858" s="6"/>
    </row>
    <row r="859">
      <c r="A859" s="6"/>
      <c r="B859" s="6"/>
      <c r="C859" s="6"/>
    </row>
    <row r="860">
      <c r="A860" s="6"/>
      <c r="B860" s="6"/>
      <c r="C860" s="6"/>
    </row>
    <row r="861">
      <c r="A861" s="6"/>
      <c r="B861" s="6"/>
      <c r="C861" s="6"/>
    </row>
    <row r="862">
      <c r="A862" s="6"/>
      <c r="B862" s="6"/>
      <c r="C862" s="6"/>
    </row>
    <row r="863">
      <c r="A863" s="6"/>
      <c r="B863" s="6"/>
      <c r="C863" s="6"/>
    </row>
    <row r="864">
      <c r="A864" s="6"/>
      <c r="B864" s="6"/>
      <c r="C864" s="6"/>
    </row>
    <row r="865">
      <c r="A865" s="6"/>
      <c r="B865" s="6"/>
      <c r="C865" s="6"/>
    </row>
    <row r="866">
      <c r="A866" s="6"/>
      <c r="B866" s="6"/>
      <c r="C866" s="6"/>
    </row>
    <row r="867">
      <c r="A867" s="6"/>
      <c r="B867" s="6"/>
      <c r="C867" s="6"/>
    </row>
    <row r="868">
      <c r="A868" s="6"/>
      <c r="B868" s="6"/>
      <c r="C868" s="6"/>
    </row>
    <row r="869">
      <c r="A869" s="6"/>
      <c r="B869" s="6"/>
      <c r="C869" s="6"/>
    </row>
    <row r="870">
      <c r="A870" s="6"/>
      <c r="B870" s="6"/>
      <c r="C870" s="6"/>
    </row>
    <row r="871">
      <c r="A871" s="6"/>
      <c r="B871" s="6"/>
      <c r="C871" s="6"/>
    </row>
    <row r="872">
      <c r="A872" s="6"/>
      <c r="B872" s="6"/>
      <c r="C872" s="6"/>
    </row>
    <row r="873">
      <c r="A873" s="6"/>
      <c r="B873" s="6"/>
      <c r="C873" s="6"/>
    </row>
    <row r="874">
      <c r="A874" s="6"/>
      <c r="B874" s="6"/>
      <c r="C874" s="6"/>
    </row>
    <row r="875">
      <c r="A875" s="6"/>
      <c r="B875" s="6"/>
      <c r="C875" s="6"/>
    </row>
    <row r="876">
      <c r="A876" s="6"/>
      <c r="B876" s="6"/>
      <c r="C876" s="6"/>
    </row>
    <row r="877">
      <c r="A877" s="6"/>
      <c r="B877" s="6"/>
      <c r="C877" s="6"/>
    </row>
    <row r="878">
      <c r="A878" s="6"/>
      <c r="B878" s="6"/>
      <c r="C878" s="6"/>
    </row>
    <row r="879">
      <c r="A879" s="6"/>
      <c r="B879" s="6"/>
      <c r="C879" s="6"/>
    </row>
    <row r="880">
      <c r="A880" s="6"/>
      <c r="B880" s="6"/>
      <c r="C880" s="6"/>
    </row>
    <row r="881">
      <c r="A881" s="6"/>
      <c r="B881" s="6"/>
      <c r="C881" s="6"/>
    </row>
    <row r="882">
      <c r="A882" s="6"/>
      <c r="B882" s="6"/>
      <c r="C882" s="6"/>
    </row>
    <row r="883">
      <c r="A883" s="6"/>
      <c r="B883" s="6"/>
      <c r="C883" s="6"/>
    </row>
    <row r="884">
      <c r="A884" s="6"/>
      <c r="B884" s="6"/>
      <c r="C884" s="6"/>
    </row>
    <row r="885">
      <c r="A885" s="6"/>
      <c r="B885" s="6"/>
      <c r="C885" s="6"/>
    </row>
    <row r="886">
      <c r="A886" s="6"/>
      <c r="B886" s="6"/>
      <c r="C886" s="6"/>
    </row>
    <row r="887">
      <c r="A887" s="6"/>
      <c r="B887" s="6"/>
      <c r="C887" s="6"/>
    </row>
    <row r="888">
      <c r="A888" s="6"/>
      <c r="B888" s="6"/>
      <c r="C888" s="6"/>
    </row>
    <row r="889">
      <c r="A889" s="6"/>
      <c r="B889" s="6"/>
      <c r="C889" s="6"/>
    </row>
    <row r="890">
      <c r="A890" s="6"/>
      <c r="B890" s="6"/>
      <c r="C890" s="6"/>
    </row>
    <row r="891">
      <c r="A891" s="6"/>
      <c r="B891" s="6"/>
      <c r="C891" s="6"/>
    </row>
    <row r="892">
      <c r="A892" s="6"/>
      <c r="B892" s="6"/>
      <c r="C892" s="6"/>
    </row>
    <row r="893">
      <c r="A893" s="6"/>
      <c r="B893" s="6"/>
      <c r="C893" s="6"/>
    </row>
    <row r="894">
      <c r="A894" s="6"/>
      <c r="B894" s="6"/>
      <c r="C894" s="6"/>
    </row>
    <row r="895">
      <c r="A895" s="6"/>
      <c r="B895" s="6"/>
      <c r="C895" s="6"/>
    </row>
    <row r="896">
      <c r="A896" s="6"/>
      <c r="B896" s="6"/>
      <c r="C896" s="6"/>
    </row>
    <row r="897">
      <c r="A897" s="6"/>
      <c r="B897" s="6"/>
      <c r="C897" s="6"/>
    </row>
    <row r="898">
      <c r="A898" s="6"/>
      <c r="B898" s="6"/>
      <c r="C898" s="6"/>
    </row>
    <row r="899">
      <c r="A899" s="6"/>
      <c r="B899" s="6"/>
      <c r="C899" s="6"/>
    </row>
    <row r="900">
      <c r="A900" s="6"/>
      <c r="B900" s="6"/>
      <c r="C900" s="6"/>
    </row>
    <row r="901">
      <c r="A901" s="6"/>
      <c r="B901" s="6"/>
      <c r="C901" s="6"/>
    </row>
    <row r="902">
      <c r="A902" s="6"/>
      <c r="B902" s="6"/>
      <c r="C902" s="6"/>
    </row>
    <row r="903">
      <c r="A903" s="6"/>
      <c r="B903" s="6"/>
      <c r="C903" s="6"/>
    </row>
    <row r="904">
      <c r="A904" s="6"/>
      <c r="B904" s="6"/>
      <c r="C904" s="6"/>
    </row>
    <row r="905">
      <c r="A905" s="6"/>
      <c r="B905" s="6"/>
      <c r="C905" s="6"/>
    </row>
    <row r="906">
      <c r="A906" s="6"/>
      <c r="B906" s="6"/>
      <c r="C906" s="6"/>
    </row>
    <row r="907">
      <c r="A907" s="6"/>
      <c r="B907" s="6"/>
      <c r="C907" s="6"/>
    </row>
    <row r="908">
      <c r="A908" s="6"/>
      <c r="B908" s="6"/>
      <c r="C908" s="6"/>
    </row>
    <row r="909">
      <c r="A909" s="6"/>
      <c r="B909" s="6"/>
      <c r="C909" s="6"/>
    </row>
    <row r="910">
      <c r="A910" s="6"/>
      <c r="B910" s="6"/>
      <c r="C910" s="6"/>
    </row>
    <row r="911">
      <c r="A911" s="6"/>
      <c r="B911" s="6"/>
      <c r="C911" s="6"/>
    </row>
    <row r="912">
      <c r="A912" s="6"/>
      <c r="B912" s="6"/>
      <c r="C912" s="6"/>
    </row>
    <row r="913">
      <c r="A913" s="6"/>
      <c r="B913" s="6"/>
      <c r="C913" s="6"/>
    </row>
    <row r="914">
      <c r="A914" s="6"/>
      <c r="B914" s="6"/>
      <c r="C914" s="6"/>
    </row>
    <row r="915">
      <c r="A915" s="6"/>
      <c r="B915" s="6"/>
      <c r="C915" s="6"/>
    </row>
    <row r="916">
      <c r="A916" s="6"/>
      <c r="B916" s="6"/>
      <c r="C916" s="6"/>
    </row>
    <row r="917">
      <c r="A917" s="6"/>
      <c r="B917" s="6"/>
      <c r="C917" s="6"/>
    </row>
    <row r="918">
      <c r="A918" s="6"/>
      <c r="B918" s="6"/>
      <c r="C918" s="6"/>
    </row>
    <row r="919">
      <c r="A919" s="6"/>
      <c r="B919" s="6"/>
      <c r="C919" s="6"/>
    </row>
    <row r="920">
      <c r="A920" s="6"/>
      <c r="B920" s="6"/>
      <c r="C920" s="6"/>
    </row>
    <row r="921">
      <c r="A921" s="6"/>
      <c r="B921" s="6"/>
      <c r="C921" s="6"/>
    </row>
    <row r="922">
      <c r="A922" s="6"/>
      <c r="B922" s="6"/>
      <c r="C922" s="6"/>
    </row>
    <row r="923">
      <c r="A923" s="6"/>
      <c r="B923" s="6"/>
      <c r="C923" s="6"/>
    </row>
    <row r="924">
      <c r="A924" s="6"/>
      <c r="B924" s="6"/>
      <c r="C924" s="6"/>
    </row>
    <row r="925">
      <c r="A925" s="6"/>
      <c r="B925" s="6"/>
      <c r="C925" s="6"/>
    </row>
    <row r="926">
      <c r="A926" s="6"/>
      <c r="B926" s="6"/>
      <c r="C926" s="6"/>
    </row>
    <row r="927">
      <c r="A927" s="6"/>
      <c r="B927" s="6"/>
      <c r="C927" s="6"/>
    </row>
    <row r="928">
      <c r="A928" s="6"/>
      <c r="B928" s="6"/>
      <c r="C928" s="6"/>
    </row>
    <row r="929">
      <c r="A929" s="6"/>
      <c r="B929" s="6"/>
      <c r="C929" s="6"/>
    </row>
    <row r="930">
      <c r="A930" s="6"/>
      <c r="B930" s="6"/>
      <c r="C930" s="6"/>
    </row>
    <row r="931">
      <c r="A931" s="6"/>
      <c r="B931" s="6"/>
      <c r="C931" s="6"/>
    </row>
    <row r="932">
      <c r="A932" s="6"/>
      <c r="B932" s="6"/>
      <c r="C932" s="6"/>
    </row>
    <row r="933">
      <c r="A933" s="6"/>
      <c r="B933" s="6"/>
      <c r="C933" s="6"/>
    </row>
    <row r="934">
      <c r="A934" s="6"/>
      <c r="B934" s="6"/>
      <c r="C934" s="6"/>
    </row>
    <row r="935">
      <c r="A935" s="6"/>
      <c r="B935" s="6"/>
      <c r="C935" s="6"/>
    </row>
    <row r="936">
      <c r="A936" s="6"/>
      <c r="B936" s="6"/>
      <c r="C936" s="6"/>
    </row>
    <row r="937">
      <c r="A937" s="6"/>
      <c r="B937" s="6"/>
      <c r="C937" s="6"/>
    </row>
    <row r="938">
      <c r="A938" s="6"/>
      <c r="B938" s="6"/>
      <c r="C938" s="6"/>
    </row>
    <row r="939">
      <c r="A939" s="6"/>
      <c r="B939" s="6"/>
      <c r="C939" s="6"/>
    </row>
    <row r="940">
      <c r="A940" s="6"/>
      <c r="B940" s="6"/>
      <c r="C940" s="6"/>
    </row>
    <row r="941">
      <c r="A941" s="6"/>
      <c r="B941" s="6"/>
      <c r="C941" s="6"/>
    </row>
    <row r="942">
      <c r="A942" s="6"/>
      <c r="B942" s="6"/>
      <c r="C942" s="6"/>
    </row>
    <row r="943">
      <c r="A943" s="6"/>
      <c r="B943" s="6"/>
      <c r="C943" s="6"/>
    </row>
    <row r="944">
      <c r="A944" s="6"/>
      <c r="B944" s="6"/>
      <c r="C944" s="6"/>
    </row>
    <row r="945">
      <c r="A945" s="6"/>
      <c r="B945" s="6"/>
      <c r="C945" s="6"/>
    </row>
    <row r="946">
      <c r="A946" s="6"/>
      <c r="B946" s="6"/>
      <c r="C946" s="6"/>
    </row>
    <row r="947">
      <c r="A947" s="6"/>
      <c r="B947" s="6"/>
      <c r="C947" s="6"/>
    </row>
    <row r="948">
      <c r="A948" s="6"/>
      <c r="B948" s="6"/>
      <c r="C948" s="6"/>
    </row>
    <row r="949">
      <c r="A949" s="6"/>
      <c r="B949" s="6"/>
      <c r="C949" s="6"/>
    </row>
    <row r="950">
      <c r="A950" s="6"/>
      <c r="B950" s="6"/>
      <c r="C950" s="6"/>
    </row>
    <row r="951">
      <c r="A951" s="6"/>
      <c r="B951" s="6"/>
      <c r="C951" s="6"/>
    </row>
    <row r="952">
      <c r="A952" s="6"/>
      <c r="B952" s="6"/>
      <c r="C952" s="6"/>
    </row>
    <row r="953">
      <c r="A953" s="6"/>
      <c r="B953" s="6"/>
      <c r="C953" s="6"/>
    </row>
    <row r="954">
      <c r="A954" s="6"/>
      <c r="B954" s="6"/>
      <c r="C954" s="6"/>
    </row>
    <row r="955">
      <c r="A955" s="6"/>
      <c r="B955" s="6"/>
      <c r="C955" s="6"/>
    </row>
    <row r="956">
      <c r="A956" s="6"/>
      <c r="B956" s="6"/>
      <c r="C956" s="6"/>
    </row>
    <row r="957">
      <c r="A957" s="6"/>
      <c r="B957" s="6"/>
      <c r="C957" s="6"/>
    </row>
    <row r="958">
      <c r="A958" s="6"/>
      <c r="B958" s="6"/>
      <c r="C958" s="6"/>
    </row>
    <row r="959">
      <c r="A959" s="6"/>
      <c r="B959" s="6"/>
      <c r="C959" s="6"/>
    </row>
    <row r="960">
      <c r="A960" s="6"/>
      <c r="B960" s="6"/>
      <c r="C960" s="6"/>
    </row>
    <row r="961">
      <c r="A961" s="6"/>
      <c r="B961" s="6"/>
      <c r="C961" s="6"/>
    </row>
    <row r="962">
      <c r="A962" s="6"/>
      <c r="B962" s="6"/>
      <c r="C962" s="6"/>
    </row>
    <row r="963">
      <c r="A963" s="6"/>
      <c r="B963" s="6"/>
      <c r="C963" s="6"/>
    </row>
    <row r="964">
      <c r="A964" s="6"/>
      <c r="B964" s="6"/>
      <c r="C964" s="6"/>
    </row>
    <row r="965">
      <c r="A965" s="6"/>
      <c r="B965" s="6"/>
      <c r="C965" s="6"/>
    </row>
    <row r="966">
      <c r="A966" s="6"/>
      <c r="B966" s="6"/>
      <c r="C966" s="6"/>
    </row>
    <row r="967">
      <c r="A967" s="6"/>
      <c r="B967" s="6"/>
      <c r="C967" s="6"/>
    </row>
    <row r="968">
      <c r="A968" s="6"/>
      <c r="B968" s="6"/>
      <c r="C968" s="6"/>
    </row>
    <row r="969">
      <c r="A969" s="6"/>
      <c r="B969" s="6"/>
      <c r="C969" s="6"/>
    </row>
    <row r="970">
      <c r="A970" s="6"/>
      <c r="B970" s="6"/>
      <c r="C970" s="6"/>
    </row>
    <row r="971">
      <c r="A971" s="6"/>
      <c r="B971" s="6"/>
      <c r="C971" s="6"/>
    </row>
    <row r="972">
      <c r="A972" s="6"/>
      <c r="B972" s="6"/>
      <c r="C972" s="6"/>
    </row>
    <row r="973">
      <c r="A973" s="6"/>
      <c r="B973" s="6"/>
      <c r="C973" s="6"/>
    </row>
    <row r="974">
      <c r="A974" s="6"/>
      <c r="B974" s="6"/>
      <c r="C974" s="6"/>
    </row>
    <row r="975">
      <c r="A975" s="6"/>
      <c r="B975" s="6"/>
      <c r="C975" s="6"/>
    </row>
    <row r="976">
      <c r="A976" s="6"/>
      <c r="B976" s="6"/>
      <c r="C976" s="6"/>
    </row>
    <row r="977">
      <c r="A977" s="6"/>
      <c r="B977" s="6"/>
      <c r="C977" s="6"/>
    </row>
    <row r="978">
      <c r="A978" s="6"/>
      <c r="B978" s="6"/>
      <c r="C978" s="6"/>
    </row>
    <row r="979">
      <c r="A979" s="6"/>
      <c r="B979" s="6"/>
      <c r="C979" s="6"/>
    </row>
    <row r="980">
      <c r="A980" s="6"/>
      <c r="B980" s="6"/>
      <c r="C980" s="6"/>
    </row>
    <row r="981">
      <c r="A981" s="6"/>
      <c r="B981" s="6"/>
      <c r="C981" s="6"/>
    </row>
    <row r="982">
      <c r="A982" s="6"/>
      <c r="B982" s="6"/>
      <c r="C982" s="6"/>
    </row>
    <row r="983">
      <c r="A983" s="6"/>
      <c r="B983" s="6"/>
      <c r="C983" s="6"/>
    </row>
    <row r="984">
      <c r="A984" s="6"/>
      <c r="B984" s="6"/>
      <c r="C984" s="6"/>
    </row>
    <row r="985">
      <c r="A985" s="6"/>
      <c r="B985" s="6"/>
      <c r="C985" s="6"/>
    </row>
    <row r="986">
      <c r="A986" s="6"/>
      <c r="B986" s="6"/>
      <c r="C986" s="6"/>
    </row>
    <row r="987">
      <c r="A987" s="6"/>
      <c r="B987" s="6"/>
      <c r="C987" s="6"/>
    </row>
    <row r="988">
      <c r="A988" s="6"/>
      <c r="B988" s="6"/>
      <c r="C988" s="6"/>
    </row>
    <row r="989">
      <c r="A989" s="6"/>
      <c r="B989" s="6"/>
      <c r="C989" s="6"/>
    </row>
    <row r="990">
      <c r="A990" s="6"/>
      <c r="B990" s="6"/>
      <c r="C990" s="6"/>
    </row>
    <row r="991">
      <c r="A991" s="6"/>
      <c r="B991" s="6"/>
      <c r="C991" s="6"/>
    </row>
    <row r="992">
      <c r="A992" s="6"/>
      <c r="B992" s="6"/>
      <c r="C992" s="6"/>
    </row>
    <row r="993">
      <c r="A993" s="6"/>
      <c r="B993" s="6"/>
      <c r="C993" s="6"/>
    </row>
    <row r="994">
      <c r="A994" s="6"/>
      <c r="B994" s="6"/>
      <c r="C994" s="6"/>
    </row>
    <row r="995">
      <c r="A995" s="6"/>
      <c r="B995" s="6"/>
      <c r="C995" s="6"/>
    </row>
    <row r="996">
      <c r="A996" s="6"/>
      <c r="B996" s="6"/>
      <c r="C996" s="6"/>
    </row>
    <row r="997">
      <c r="A997" s="6"/>
      <c r="B997" s="6"/>
      <c r="C997" s="6"/>
    </row>
    <row r="998">
      <c r="A998" s="6"/>
      <c r="B998" s="6"/>
      <c r="C998" s="6"/>
    </row>
    <row r="999">
      <c r="A999" s="6"/>
      <c r="B999" s="6"/>
      <c r="C999" s="6"/>
    </row>
    <row r="1000">
      <c r="A1000" s="6"/>
      <c r="B1000" s="6"/>
      <c r="C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110</v>
      </c>
      <c r="B1" s="6" t="s">
        <v>2</v>
      </c>
      <c r="C1" s="6" t="s">
        <v>111</v>
      </c>
      <c r="D1" s="6" t="s">
        <v>112</v>
      </c>
      <c r="E1" s="6" t="s">
        <v>113</v>
      </c>
      <c r="F1" s="1" t="s">
        <v>114</v>
      </c>
    </row>
    <row r="2">
      <c r="A2" s="6" t="s">
        <v>115</v>
      </c>
      <c r="B2" s="6" t="s">
        <v>34</v>
      </c>
      <c r="C2" s="6" t="s">
        <v>116</v>
      </c>
      <c r="D2" s="6" t="s">
        <v>117</v>
      </c>
      <c r="E2" s="6" t="s">
        <v>15</v>
      </c>
      <c r="F2" s="5">
        <f>SUMIF(Cleaned_Transactions!E:E,B2,Cleaned_Transactions!$G$2:$G$31)</f>
        <v>50278</v>
      </c>
    </row>
    <row r="3">
      <c r="A3" s="6" t="s">
        <v>118</v>
      </c>
      <c r="B3" s="6" t="s">
        <v>48</v>
      </c>
      <c r="C3" s="6" t="s">
        <v>119</v>
      </c>
      <c r="D3" s="6" t="s">
        <v>120</v>
      </c>
      <c r="E3" s="6" t="s">
        <v>15</v>
      </c>
      <c r="F3" s="5">
        <f>SUMIF(Cleaned_Transactions!E:E,B3,Cleaned_Transactions!$G$2:$G$31)</f>
        <v>32934</v>
      </c>
    </row>
    <row r="4">
      <c r="A4" s="6" t="s">
        <v>121</v>
      </c>
      <c r="B4" s="6" t="s">
        <v>79</v>
      </c>
      <c r="C4" s="6" t="s">
        <v>122</v>
      </c>
      <c r="D4" s="6" t="s">
        <v>123</v>
      </c>
      <c r="E4" s="6" t="s">
        <v>81</v>
      </c>
      <c r="F4" s="5">
        <f>SUMIF(Cleaned_Transactions!E:E,B4,Cleaned_Transactions!$G$2:$G$31)</f>
        <v>10246</v>
      </c>
    </row>
    <row r="5">
      <c r="A5" s="6" t="s">
        <v>124</v>
      </c>
      <c r="B5" s="6" t="s">
        <v>93</v>
      </c>
      <c r="C5" s="6" t="s">
        <v>125</v>
      </c>
      <c r="D5" s="6" t="s">
        <v>126</v>
      </c>
      <c r="E5" s="6" t="s">
        <v>95</v>
      </c>
      <c r="F5" s="5">
        <f>SUMIF(Cleaned_Transactions!E:E,B5,Cleaned_Transactions!$G$2:$G$31)</f>
        <v>7400</v>
      </c>
    </row>
    <row r="6">
      <c r="A6" s="6" t="s">
        <v>127</v>
      </c>
      <c r="B6" s="6" t="s">
        <v>83</v>
      </c>
      <c r="C6" s="6" t="s">
        <v>128</v>
      </c>
      <c r="D6" s="6" t="s">
        <v>129</v>
      </c>
      <c r="E6" s="6" t="s">
        <v>81</v>
      </c>
      <c r="F6" s="5">
        <f>SUMIF(Cleaned_Transactions!E:E,B6,Cleaned_Transactions!$G$2:$G$31)</f>
        <v>10224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</cols>
  <sheetData>
    <row r="1">
      <c r="A1" s="8"/>
      <c r="B1" s="8"/>
      <c r="C1" s="8"/>
    </row>
    <row r="2">
      <c r="A2" s="9"/>
      <c r="B2" s="8"/>
      <c r="C2" s="10"/>
    </row>
    <row r="3">
      <c r="A3" s="9"/>
      <c r="B3" s="8"/>
      <c r="C3" s="10"/>
    </row>
    <row r="4">
      <c r="A4" s="9"/>
      <c r="B4" s="8"/>
      <c r="C4" s="10"/>
    </row>
    <row r="5">
      <c r="A5" s="9"/>
      <c r="B5" s="8"/>
      <c r="C5" s="10"/>
    </row>
    <row r="6">
      <c r="A6" s="9"/>
      <c r="B6" s="8"/>
      <c r="C6" s="10"/>
    </row>
    <row r="7">
      <c r="A7" s="9"/>
      <c r="B7" s="8"/>
      <c r="C7" s="10"/>
    </row>
    <row r="8">
      <c r="A8" s="9"/>
      <c r="B8" s="8"/>
      <c r="C8" s="10"/>
    </row>
    <row r="9">
      <c r="A9" s="9"/>
      <c r="B9" s="8"/>
      <c r="C9" s="10"/>
    </row>
    <row r="10">
      <c r="A10" s="9"/>
      <c r="B10" s="8"/>
      <c r="C10" s="10"/>
    </row>
    <row r="11">
      <c r="A11" s="9"/>
      <c r="B11" s="8"/>
      <c r="C11" s="10"/>
    </row>
    <row r="12">
      <c r="A12" s="9"/>
      <c r="B12" s="8"/>
      <c r="C12" s="10"/>
    </row>
    <row r="13">
      <c r="A13" s="9"/>
      <c r="B13" s="8"/>
      <c r="C13" s="10"/>
    </row>
    <row r="14">
      <c r="A14" s="9"/>
      <c r="B14" s="8"/>
      <c r="C14" s="10"/>
    </row>
    <row r="15">
      <c r="A15" s="9"/>
      <c r="B15" s="8"/>
      <c r="C15" s="10"/>
    </row>
    <row r="16">
      <c r="A16" s="9"/>
      <c r="B16" s="8"/>
      <c r="C16" s="10"/>
    </row>
    <row r="17">
      <c r="A17" s="9"/>
      <c r="B17" s="8"/>
      <c r="C17" s="10"/>
    </row>
    <row r="18">
      <c r="A18" s="9"/>
      <c r="B18" s="8"/>
      <c r="C18" s="10"/>
    </row>
    <row r="19">
      <c r="A19" s="9"/>
      <c r="B19" s="8"/>
      <c r="C19" s="10"/>
    </row>
  </sheetData>
  <drawing r:id="rId1"/>
</worksheet>
</file>